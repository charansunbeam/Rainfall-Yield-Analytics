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  <sheet name="Yield_2014-25" sheetId="2" state="visible" r:id="rId4"/>
    <sheet name="Notes" sheetId="3" state="visible" r:id="rId5"/>
  </sheets>
  <definedNames>
    <definedName function="false" hidden="true" localSheetId="0" name="_xlnm._FilterDatabase" vbProcedure="false">Data!$A$1:$L$1141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<sst xmlns="http://schemas.openxmlformats.org/spreadsheetml/2006/main" count="4606" uniqueCount="106">
  <si>
    <t xml:space="preserve">Year</t>
  </si>
  <si>
    <t xml:space="preserve">Start year</t>
  </si>
  <si>
    <t xml:space="preserve">Crop</t>
  </si>
  <si>
    <t xml:space="preserve">Area (ha)</t>
  </si>
  <si>
    <t xml:space="preserve">Production (as printed)</t>
  </si>
  <si>
    <t xml:space="preserve">Production unit</t>
  </si>
  <si>
    <t xml:space="preserve">Yield reported (as printed)</t>
  </si>
  <si>
    <t xml:space="preserve">Yield unit</t>
  </si>
  <si>
    <t xml:space="preserve">Unit factor</t>
  </si>
  <si>
    <t xml:space="preserve">Yield recomputed</t>
  </si>
  <si>
    <t xml:space="preserve">% diff vs printed</t>
  </si>
  <si>
    <t xml:space="preserve">Check</t>
  </si>
  <si>
    <t xml:space="preserve">1965-66</t>
  </si>
  <si>
    <t xml:space="preserve">Foodgrains</t>
  </si>
  <si>
    <t xml:space="preserve">tonnes</t>
  </si>
  <si>
    <t xml:space="preserve">kg/ha</t>
  </si>
  <si>
    <t xml:space="preserve">Paddy</t>
  </si>
  <si>
    <t xml:space="preserve">tonnes (rice terms)</t>
  </si>
  <si>
    <t xml:space="preserve">1966-67</t>
  </si>
  <si>
    <t xml:space="preserve">1967-68</t>
  </si>
  <si>
    <t xml:space="preserve">1968-69</t>
  </si>
  <si>
    <t xml:space="preserve">1969-70</t>
  </si>
  <si>
    <t xml:space="preserve">1970-71</t>
  </si>
  <si>
    <t xml:space="preserve">1971-72</t>
  </si>
  <si>
    <t xml:space="preserve">1972-73</t>
  </si>
  <si>
    <t xml:space="preserve">1973-74</t>
  </si>
  <si>
    <t xml:space="preserve">1974-75</t>
  </si>
  <si>
    <t xml:space="preserve">1975-76</t>
  </si>
  <si>
    <t xml:space="preserve">1976-77</t>
  </si>
  <si>
    <t xml:space="preserve">1977-78</t>
  </si>
  <si>
    <t xml:space="preserve">1978-79</t>
  </si>
  <si>
    <t xml:space="preserve">1979-80</t>
  </si>
  <si>
    <t xml:space="preserve">1980-81</t>
  </si>
  <si>
    <t xml:space="preserve">1981-82</t>
  </si>
  <si>
    <t xml:space="preserve">1982-83</t>
  </si>
  <si>
    <t xml:space="preserve">1983-84</t>
  </si>
  <si>
    <t xml:space="preserve">1984-85</t>
  </si>
  <si>
    <t xml:space="preserve">1985-86</t>
  </si>
  <si>
    <t xml:space="preserve">1986-87</t>
  </si>
  <si>
    <t xml:space="preserve">1987-88</t>
  </si>
  <si>
    <t xml:space="preserve">1988-89</t>
  </si>
  <si>
    <t xml:space="preserve">1989-90</t>
  </si>
  <si>
    <t xml:space="preserve">1990-91</t>
  </si>
  <si>
    <t xml:space="preserve">1991-92</t>
  </si>
  <si>
    <t xml:space="preserve">1992-93</t>
  </si>
  <si>
    <t xml:space="preserve">1993-94</t>
  </si>
  <si>
    <t xml:space="preserve">1994-95</t>
  </si>
  <si>
    <t xml:space="preserve">1995-96</t>
  </si>
  <si>
    <t xml:space="preserve">1996-97</t>
  </si>
  <si>
    <t xml:space="preserve">1997-98</t>
  </si>
  <si>
    <t xml:space="preserve">1998-99</t>
  </si>
  <si>
    <t xml:space="preserve">1999-2000</t>
  </si>
  <si>
    <t xml:space="preserve">2000-01</t>
  </si>
  <si>
    <t xml:space="preserve">2001-02</t>
  </si>
  <si>
    <t xml:space="preserve">2002-03</t>
  </si>
  <si>
    <t xml:space="preserve">2003-04</t>
  </si>
  <si>
    <t xml:space="preserve">2004-05</t>
  </si>
  <si>
    <t xml:space="preserve">2005-06</t>
  </si>
  <si>
    <t xml:space="preserve">2006-07</t>
  </si>
  <si>
    <t xml:space="preserve">2007-08</t>
  </si>
  <si>
    <t xml:space="preserve">2008-09</t>
  </si>
  <si>
    <t xml:space="preserve">2009-10</t>
  </si>
  <si>
    <t xml:space="preserve">2010-11</t>
  </si>
  <si>
    <t xml:space="preserve">2011-12</t>
  </si>
  <si>
    <t xml:space="preserve">2012-13</t>
  </si>
  <si>
    <t xml:space="preserve">2013-14</t>
  </si>
  <si>
    <t xml:space="preserve">2014-15</t>
  </si>
  <si>
    <t xml:space="preserve">2015-16</t>
  </si>
  <si>
    <t xml:space="preserve">2016-17</t>
  </si>
  <si>
    <t xml:space="preserve">2017-18</t>
  </si>
  <si>
    <t xml:space="preserve">2018-19</t>
  </si>
  <si>
    <t xml:space="preserve">2019-20</t>
  </si>
  <si>
    <t xml:space="preserve">2020-21</t>
  </si>
  <si>
    <t xml:space="preserve">2021-22</t>
  </si>
  <si>
    <t xml:space="preserve">2022-23</t>
  </si>
  <si>
    <t xml:space="preserve">2023-24</t>
  </si>
  <si>
    <t xml:space="preserve">2024-25</t>
  </si>
  <si>
    <t xml:space="preserve">Cholam (Sorghum)</t>
  </si>
  <si>
    <t xml:space="preserve">Cumbu (Pearl millet)</t>
  </si>
  <si>
    <t xml:space="preserve">Ragi (Finger millet)</t>
  </si>
  <si>
    <t xml:space="preserve">Maize</t>
  </si>
  <si>
    <t xml:space="preserve">Total Cereals</t>
  </si>
  <si>
    <t xml:space="preserve">Red gram</t>
  </si>
  <si>
    <t xml:space="preserve">Bengal gram</t>
  </si>
  <si>
    <t xml:space="preserve">Green gram</t>
  </si>
  <si>
    <t xml:space="preserve">Black gram</t>
  </si>
  <si>
    <t xml:space="preserve">Horse gram</t>
  </si>
  <si>
    <t xml:space="preserve">Total Pulses</t>
  </si>
  <si>
    <t xml:space="preserve">Groundnut</t>
  </si>
  <si>
    <t xml:space="preserve">Gingelly (Sesame)</t>
  </si>
  <si>
    <t xml:space="preserve">Potato</t>
  </si>
  <si>
    <t xml:space="preserve">Onion</t>
  </si>
  <si>
    <t xml:space="preserve">Sugarcane</t>
  </si>
  <si>
    <t xml:space="preserve">tonnes (gur/cane; cane from 2003-04)</t>
  </si>
  <si>
    <t xml:space="preserve">Cotton</t>
  </si>
  <si>
    <t xml:space="preserve">bales of 170 kg lint</t>
  </si>
  <si>
    <t xml:space="preserve">t/ha</t>
  </si>
  <si>
    <t xml:space="preserve">Yield recomputed = production x unit factor / area (kg/ha). Sugarcane is in t/ha from 2003-04 onward; do not compare with earlier years.</t>
  </si>
  <si>
    <t xml:space="preserve">Source: Tamil Nadu Season and Crop Report, Table IX-C "Time series data on area, production and yield rate of principal crops", Dept. of Economics and Statistics (uploaded crops.pdf, pages 339-356). State-level, 1965-66 to 2024-25.</t>
  </si>
  <si>
    <t xml:space="preserve">Blue cells on Data are values typed from the PDF; black cells are formulas.</t>
  </si>
  <si>
    <t xml:space="preserve">Yield recomputed = Production x Unit factor / Area. Unit factor: 1000 (tonnes to kg), 170 for cotton (bales of 170 kg lint), 1 for sugarcane from 2003-04 (printed yield is t/ha).</t>
  </si>
  <si>
    <t xml:space="preserve">Check column flags rows where recomputed yield differs from the printed yield by more than 5%. Filter Check = CHECK to see printed-yield errors in the source.</t>
  </si>
  <si>
    <t xml:space="preserve">Paddy production is in terms of rice, not raw paddy.</t>
  </si>
  <si>
    <t xml:space="preserve">Sugarcane 2003-04 onward: production is cane tonnage and yield is t/ha, so earlier years (gur terms) are not comparable.</t>
  </si>
  <si>
    <t xml:space="preserve">Total Cereals, Foodgrains and Total Pulses are aggregates of other rows; do not add them to individual crops.</t>
  </si>
  <si>
    <t xml:space="preserve">Use the recomputed yield for analysis, not the printed yield.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</si>
</sst>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#,##0.0"/>
    <numFmt numFmtId="167" formatCode="0.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1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22"/>
    <col collapsed="false" customWidth="true" hidden="false" outlineLevel="0" max="4" min="4" style="0" width="13"/>
    <col collapsed="false" customWidth="true" hidden="false" outlineLevel="0" max="5" min="5" style="0" width="16"/>
    <col collapsed="false" customWidth="true" hidden="false" outlineLevel="0" max="6" min="6" style="0" width="30"/>
    <col collapsed="false" customWidth="true" hidden="false" outlineLevel="0" max="7" min="7" style="0" width="14"/>
    <col collapsed="false" customWidth="true" hidden="false" outlineLevel="0" max="9" min="8" style="0" width="9"/>
    <col collapsed="false" customWidth="true" hidden="false" outlineLevel="0" max="10" min="10" style="0" width="13"/>
    <col collapsed="false" customWidth="true" hidden="false" outlineLevel="0" max="11" min="11" style="0" width="11"/>
    <col collapsed="false" customWidth="true" hidden="false" outlineLevel="0" max="12" min="12" style="0" width="9"/>
  </cols>
  <sheetData>
    <row r="1" customFormat="false" ht="35.0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2" t="s">
        <v>12</v>
      </c>
      <c r="B2" s="2" t="n">
        <v>1965</v>
      </c>
      <c r="C2" s="2" t="s">
        <v>13</v>
      </c>
      <c r="D2" s="3" t="n">
        <v>4865575</v>
      </c>
      <c r="E2" s="3" t="n">
        <v>5031910</v>
      </c>
      <c r="F2" s="2" t="s">
        <v>14</v>
      </c>
      <c r="G2" s="3" t="n">
        <v>1034</v>
      </c>
      <c r="H2" s="2" t="s">
        <v>15</v>
      </c>
      <c r="I2" s="2" t="n">
        <v>1000</v>
      </c>
      <c r="J2" s="4" t="n">
        <f aca="false">IFERROR(E2*I2/D2,"")</f>
        <v>1034.18609311335</v>
      </c>
      <c r="K2" s="5" t="n">
        <f aca="false">IFERROR((J2-G2)/G2,"")</f>
        <v>0.000179973997439458</v>
      </c>
      <c r="L2" s="2" t="str">
        <f aca="false">IF(K2="","",IF(ABS(K2)&gt;0.05,"CHECK","OK"))</f>
        <v>OK</v>
      </c>
    </row>
    <row r="3" customFormat="false" ht="15" hidden="false" customHeight="false" outlineLevel="0" collapsed="false">
      <c r="A3" s="2" t="s">
        <v>12</v>
      </c>
      <c r="B3" s="2" t="n">
        <v>1965</v>
      </c>
      <c r="C3" s="2" t="s">
        <v>16</v>
      </c>
      <c r="D3" s="3" t="n">
        <v>2501934</v>
      </c>
      <c r="E3" s="3" t="n">
        <v>3524220</v>
      </c>
      <c r="F3" s="2" t="s">
        <v>17</v>
      </c>
      <c r="G3" s="3" t="n">
        <v>1409</v>
      </c>
      <c r="H3" s="2" t="s">
        <v>15</v>
      </c>
      <c r="I3" s="2" t="n">
        <v>1000</v>
      </c>
      <c r="J3" s="4" t="n">
        <f aca="false">IFERROR(E3*I3/D3,"")</f>
        <v>1408.59830834866</v>
      </c>
      <c r="K3" s="5" t="n">
        <f aca="false">IFERROR((J3-G3)/G3,"")</f>
        <v>-0.000285089887394268</v>
      </c>
      <c r="L3" s="2" t="str">
        <f aca="false">IF(K3="","",IF(ABS(K3)&gt;0.05,"CHECK","OK"))</f>
        <v>OK</v>
      </c>
    </row>
    <row r="4" customFormat="false" ht="15" hidden="false" customHeight="false" outlineLevel="0" collapsed="false">
      <c r="A4" s="2" t="s">
        <v>18</v>
      </c>
      <c r="B4" s="2" t="n">
        <v>1966</v>
      </c>
      <c r="C4" s="2" t="s">
        <v>13</v>
      </c>
      <c r="D4" s="3" t="n">
        <v>5082517</v>
      </c>
      <c r="E4" s="3" t="n">
        <v>5458300</v>
      </c>
      <c r="F4" s="2" t="s">
        <v>14</v>
      </c>
      <c r="G4" s="3" t="n">
        <v>1074</v>
      </c>
      <c r="H4" s="2" t="s">
        <v>15</v>
      </c>
      <c r="I4" s="2" t="n">
        <v>1000</v>
      </c>
      <c r="J4" s="4" t="n">
        <f aca="false">IFERROR(E4*I4/D4,"")</f>
        <v>1073.93639804845</v>
      </c>
      <c r="K4" s="5" t="n">
        <f aca="false">IFERROR((J4-G4)/G4,"")</f>
        <v>-5.92196941831984E-005</v>
      </c>
      <c r="L4" s="2" t="str">
        <f aca="false">IF(K4="","",IF(ABS(K4)&gt;0.05,"CHECK","OK"))</f>
        <v>OK</v>
      </c>
    </row>
    <row r="5" customFormat="false" ht="15" hidden="false" customHeight="false" outlineLevel="0" collapsed="false">
      <c r="A5" s="2" t="s">
        <v>18</v>
      </c>
      <c r="B5" s="2" t="n">
        <v>1966</v>
      </c>
      <c r="C5" s="2" t="s">
        <v>16</v>
      </c>
      <c r="D5" s="3" t="n">
        <v>2689010</v>
      </c>
      <c r="E5" s="3" t="n">
        <v>3790950</v>
      </c>
      <c r="F5" s="2" t="s">
        <v>17</v>
      </c>
      <c r="G5" s="3" t="n">
        <v>1410</v>
      </c>
      <c r="H5" s="2" t="s">
        <v>15</v>
      </c>
      <c r="I5" s="2" t="n">
        <v>1000</v>
      </c>
      <c r="J5" s="4" t="n">
        <f aca="false">IFERROR(E5*I5/D5,"")</f>
        <v>1409.79393903332</v>
      </c>
      <c r="K5" s="5" t="n">
        <f aca="false">IFERROR((J5-G5)/G5,"")</f>
        <v>-0.000146142529557108</v>
      </c>
      <c r="L5" s="2" t="str">
        <f aca="false">IF(K5="","",IF(ABS(K5)&gt;0.05,"CHECK","OK"))</f>
        <v>OK</v>
      </c>
    </row>
    <row r="6" customFormat="false" ht="15" hidden="false" customHeight="false" outlineLevel="0" collapsed="false">
      <c r="A6" s="2" t="s">
        <v>19</v>
      </c>
      <c r="B6" s="2" t="n">
        <v>1967</v>
      </c>
      <c r="C6" s="2" t="s">
        <v>13</v>
      </c>
      <c r="D6" s="3" t="n">
        <v>5007067</v>
      </c>
      <c r="E6" s="3" t="n">
        <v>5416990</v>
      </c>
      <c r="F6" s="2" t="s">
        <v>14</v>
      </c>
      <c r="G6" s="3" t="n">
        <v>1082</v>
      </c>
      <c r="H6" s="2" t="s">
        <v>15</v>
      </c>
      <c r="I6" s="2" t="n">
        <v>1000</v>
      </c>
      <c r="J6" s="4" t="n">
        <f aca="false">IFERROR(E6*I6/D6,"")</f>
        <v>1081.8688865158</v>
      </c>
      <c r="K6" s="5" t="n">
        <f aca="false">IFERROR((J6-G6)/G6,"")</f>
        <v>-0.000121176972459776</v>
      </c>
      <c r="L6" s="2" t="str">
        <f aca="false">IF(K6="","",IF(ABS(K6)&gt;0.05,"CHECK","OK"))</f>
        <v>OK</v>
      </c>
    </row>
    <row r="7" customFormat="false" ht="15" hidden="false" customHeight="false" outlineLevel="0" collapsed="false">
      <c r="A7" s="2" t="s">
        <v>19</v>
      </c>
      <c r="B7" s="2" t="n">
        <v>1967</v>
      </c>
      <c r="C7" s="2" t="s">
        <v>16</v>
      </c>
      <c r="D7" s="3" t="n">
        <v>2659809</v>
      </c>
      <c r="E7" s="3" t="n">
        <v>3845790</v>
      </c>
      <c r="F7" s="2" t="s">
        <v>17</v>
      </c>
      <c r="G7" s="3" t="n">
        <v>1446</v>
      </c>
      <c r="H7" s="2" t="s">
        <v>15</v>
      </c>
      <c r="I7" s="2" t="n">
        <v>1000</v>
      </c>
      <c r="J7" s="4" t="n">
        <f aca="false">IFERROR(E7*I7/D7,"")</f>
        <v>1445.88953567719</v>
      </c>
      <c r="K7" s="5" t="n">
        <f aca="false">IFERROR((J7-G7)/G7,"")</f>
        <v>-7.63930309917675E-005</v>
      </c>
      <c r="L7" s="2" t="str">
        <f aca="false">IF(K7="","",IF(ABS(K7)&gt;0.05,"CHECK","OK"))</f>
        <v>OK</v>
      </c>
    </row>
    <row r="8" customFormat="false" ht="15" hidden="false" customHeight="false" outlineLevel="0" collapsed="false">
      <c r="A8" s="2" t="s">
        <v>20</v>
      </c>
      <c r="B8" s="2" t="n">
        <v>1968</v>
      </c>
      <c r="C8" s="2" t="s">
        <v>13</v>
      </c>
      <c r="D8" s="3" t="n">
        <v>4709221</v>
      </c>
      <c r="E8" s="3" t="n">
        <v>5061990</v>
      </c>
      <c r="F8" s="2" t="s">
        <v>14</v>
      </c>
      <c r="G8" s="3" t="n">
        <v>1075</v>
      </c>
      <c r="H8" s="2" t="s">
        <v>15</v>
      </c>
      <c r="I8" s="2" t="n">
        <v>1000</v>
      </c>
      <c r="J8" s="4" t="n">
        <f aca="false">IFERROR(E8*I8/D8,"")</f>
        <v>1074.91026647507</v>
      </c>
      <c r="K8" s="5" t="n">
        <f aca="false">IFERROR((J8-G8)/G8,"")</f>
        <v>-8.34730464455703E-005</v>
      </c>
      <c r="L8" s="2" t="str">
        <f aca="false">IF(K8="","",IF(ABS(K8)&gt;0.05,"CHECK","OK"))</f>
        <v>OK</v>
      </c>
    </row>
    <row r="9" customFormat="false" ht="15" hidden="false" customHeight="false" outlineLevel="0" collapsed="false">
      <c r="A9" s="2" t="s">
        <v>20</v>
      </c>
      <c r="B9" s="2" t="n">
        <v>1968</v>
      </c>
      <c r="C9" s="2" t="s">
        <v>16</v>
      </c>
      <c r="D9" s="3" t="n">
        <v>2362898</v>
      </c>
      <c r="E9" s="3" t="n">
        <v>3549940</v>
      </c>
      <c r="F9" s="2" t="s">
        <v>17</v>
      </c>
      <c r="G9" s="3" t="n">
        <v>1502</v>
      </c>
      <c r="H9" s="2" t="s">
        <v>15</v>
      </c>
      <c r="I9" s="2" t="n">
        <v>1000</v>
      </c>
      <c r="J9" s="4" t="n">
        <f aca="false">IFERROR(E9*I9/D9,"")</f>
        <v>1502.36700864786</v>
      </c>
      <c r="K9" s="5" t="n">
        <f aca="false">IFERROR((J9-G9)/G9,"")</f>
        <v>0.000244346636388349</v>
      </c>
      <c r="L9" s="2" t="str">
        <f aca="false">IF(K9="","",IF(ABS(K9)&gt;0.05,"CHECK","OK"))</f>
        <v>OK</v>
      </c>
    </row>
    <row r="10" customFormat="false" ht="15" hidden="false" customHeight="false" outlineLevel="0" collapsed="false">
      <c r="A10" s="2" t="s">
        <v>21</v>
      </c>
      <c r="B10" s="2" t="n">
        <v>1969</v>
      </c>
      <c r="C10" s="2" t="s">
        <v>13</v>
      </c>
      <c r="D10" s="3" t="n">
        <v>5014789</v>
      </c>
      <c r="E10" s="3" t="n">
        <v>5729820</v>
      </c>
      <c r="F10" s="2" t="s">
        <v>14</v>
      </c>
      <c r="G10" s="3" t="n">
        <v>1143</v>
      </c>
      <c r="H10" s="2" t="s">
        <v>15</v>
      </c>
      <c r="I10" s="2" t="n">
        <v>1000</v>
      </c>
      <c r="J10" s="4" t="n">
        <f aca="false">IFERROR(E10*I10/D10,"")</f>
        <v>1142.58446367335</v>
      </c>
      <c r="K10" s="5" t="n">
        <f aca="false">IFERROR((J10-G10)/G10,"")</f>
        <v>-0.000363548842216058</v>
      </c>
      <c r="L10" s="2" t="str">
        <f aca="false">IF(K10="","",IF(ABS(K10)&gt;0.05,"CHECK","OK"))</f>
        <v>OK</v>
      </c>
    </row>
    <row r="11" customFormat="false" ht="15" hidden="false" customHeight="false" outlineLevel="0" collapsed="false">
      <c r="A11" s="2" t="s">
        <v>21</v>
      </c>
      <c r="B11" s="2" t="n">
        <v>1969</v>
      </c>
      <c r="C11" s="2" t="s">
        <v>16</v>
      </c>
      <c r="D11" s="3" t="n">
        <v>2517776</v>
      </c>
      <c r="E11" s="3" t="n">
        <v>4011650</v>
      </c>
      <c r="F11" s="2" t="s">
        <v>17</v>
      </c>
      <c r="G11" s="3" t="n">
        <v>1593</v>
      </c>
      <c r="H11" s="2" t="s">
        <v>15</v>
      </c>
      <c r="I11" s="2" t="n">
        <v>1000</v>
      </c>
      <c r="J11" s="4" t="n">
        <f aca="false">IFERROR(E11*I11/D11,"")</f>
        <v>1593.33078081609</v>
      </c>
      <c r="K11" s="5" t="n">
        <f aca="false">IFERROR((J11-G11)/G11,"")</f>
        <v>0.00020764646333037</v>
      </c>
      <c r="L11" s="2" t="str">
        <f aca="false">IF(K11="","",IF(ABS(K11)&gt;0.05,"CHECK","OK"))</f>
        <v>OK</v>
      </c>
    </row>
    <row r="12" customFormat="false" ht="15" hidden="false" customHeight="false" outlineLevel="0" collapsed="false">
      <c r="A12" s="2" t="s">
        <v>22</v>
      </c>
      <c r="B12" s="2" t="n">
        <v>1970</v>
      </c>
      <c r="C12" s="2" t="s">
        <v>13</v>
      </c>
      <c r="D12" s="3" t="n">
        <v>5109729</v>
      </c>
      <c r="E12" s="3" t="n">
        <v>6706780</v>
      </c>
      <c r="F12" s="2" t="s">
        <v>14</v>
      </c>
      <c r="G12" s="3" t="n">
        <v>1313</v>
      </c>
      <c r="H12" s="2" t="s">
        <v>15</v>
      </c>
      <c r="I12" s="2" t="n">
        <v>1000</v>
      </c>
      <c r="J12" s="4" t="n">
        <f aca="false">IFERROR(E12*I12/D12,"")</f>
        <v>1312.55101787199</v>
      </c>
      <c r="K12" s="5" t="n">
        <f aca="false">IFERROR((J12-G12)/G12,"")</f>
        <v>-0.000341951354162151</v>
      </c>
      <c r="L12" s="2" t="str">
        <f aca="false">IF(K12="","",IF(ABS(K12)&gt;0.05,"CHECK","OK"))</f>
        <v>OK</v>
      </c>
    </row>
    <row r="13" customFormat="false" ht="15" hidden="false" customHeight="false" outlineLevel="0" collapsed="false">
      <c r="A13" s="2" t="s">
        <v>22</v>
      </c>
      <c r="B13" s="2" t="n">
        <v>1970</v>
      </c>
      <c r="C13" s="2" t="s">
        <v>16</v>
      </c>
      <c r="D13" s="3" t="n">
        <v>2635718</v>
      </c>
      <c r="E13" s="3" t="n">
        <v>5000920</v>
      </c>
      <c r="F13" s="2" t="s">
        <v>17</v>
      </c>
      <c r="G13" s="3" t="n">
        <v>1897</v>
      </c>
      <c r="H13" s="2" t="s">
        <v>15</v>
      </c>
      <c r="I13" s="2" t="n">
        <v>1000</v>
      </c>
      <c r="J13" s="4" t="n">
        <f aca="false">IFERROR(E13*I13/D13,"")</f>
        <v>1897.36534788623</v>
      </c>
      <c r="K13" s="5" t="n">
        <f aca="false">IFERROR((J13-G13)/G13,"")</f>
        <v>0.000192592454523282</v>
      </c>
      <c r="L13" s="2" t="str">
        <f aca="false">IF(K13="","",IF(ABS(K13)&gt;0.05,"CHECK","OK"))</f>
        <v>OK</v>
      </c>
    </row>
    <row r="14" customFormat="false" ht="15" hidden="false" customHeight="false" outlineLevel="0" collapsed="false">
      <c r="A14" s="2" t="s">
        <v>23</v>
      </c>
      <c r="B14" s="2" t="n">
        <v>1971</v>
      </c>
      <c r="C14" s="2" t="s">
        <v>13</v>
      </c>
      <c r="D14" s="3" t="n">
        <v>5161068</v>
      </c>
      <c r="E14" s="3" t="n">
        <v>6883700</v>
      </c>
      <c r="F14" s="2" t="s">
        <v>14</v>
      </c>
      <c r="G14" s="3" t="n">
        <v>1334</v>
      </c>
      <c r="H14" s="2" t="s">
        <v>15</v>
      </c>
      <c r="I14" s="2" t="n">
        <v>1000</v>
      </c>
      <c r="J14" s="4" t="n">
        <f aca="false">IFERROR(E14*I14/D14,"")</f>
        <v>1333.77432732915</v>
      </c>
      <c r="K14" s="5" t="n">
        <f aca="false">IFERROR((J14-G14)/G14,"")</f>
        <v>-0.00016916991817869</v>
      </c>
      <c r="L14" s="2" t="str">
        <f aca="false">IF(K14="","",IF(ABS(K14)&gt;0.05,"CHECK","OK"))</f>
        <v>OK</v>
      </c>
    </row>
    <row r="15" customFormat="false" ht="15" hidden="false" customHeight="false" outlineLevel="0" collapsed="false">
      <c r="A15" s="2" t="s">
        <v>23</v>
      </c>
      <c r="B15" s="2" t="n">
        <v>1971</v>
      </c>
      <c r="C15" s="2" t="s">
        <v>16</v>
      </c>
      <c r="D15" s="3" t="n">
        <v>2689984</v>
      </c>
      <c r="E15" s="3" t="n">
        <v>5302030</v>
      </c>
      <c r="F15" s="2" t="s">
        <v>17</v>
      </c>
      <c r="G15" s="3" t="n">
        <v>1971</v>
      </c>
      <c r="H15" s="2" t="s">
        <v>15</v>
      </c>
      <c r="I15" s="2" t="n">
        <v>1000</v>
      </c>
      <c r="J15" s="4" t="n">
        <f aca="false">IFERROR(E15*I15/D15,"")</f>
        <v>1971.02659346673</v>
      </c>
      <c r="K15" s="5" t="n">
        <f aca="false">IFERROR((J15-G15)/G15,"")</f>
        <v>1.34923727686635E-005</v>
      </c>
      <c r="L15" s="2" t="str">
        <f aca="false">IF(K15="","",IF(ABS(K15)&gt;0.05,"CHECK","OK"))</f>
        <v>OK</v>
      </c>
    </row>
    <row r="16" customFormat="false" ht="15" hidden="false" customHeight="false" outlineLevel="0" collapsed="false">
      <c r="A16" s="2" t="s">
        <v>24</v>
      </c>
      <c r="B16" s="2" t="n">
        <v>1972</v>
      </c>
      <c r="C16" s="2" t="s">
        <v>13</v>
      </c>
      <c r="D16" s="3" t="n">
        <v>5291895</v>
      </c>
      <c r="E16" s="3" t="n">
        <v>7136490</v>
      </c>
      <c r="F16" s="2" t="s">
        <v>14</v>
      </c>
      <c r="G16" s="3" t="n">
        <v>1349</v>
      </c>
      <c r="H16" s="2" t="s">
        <v>15</v>
      </c>
      <c r="I16" s="2" t="n">
        <v>1000</v>
      </c>
      <c r="J16" s="4" t="n">
        <f aca="false">IFERROR(E16*I16/D16,"")</f>
        <v>1348.56984123835</v>
      </c>
      <c r="K16" s="5" t="n">
        <f aca="false">IFERROR((J16-G16)/G16,"")</f>
        <v>-0.000318872321462937</v>
      </c>
      <c r="L16" s="2" t="str">
        <f aca="false">IF(K16="","",IF(ABS(K16)&gt;0.05,"CHECK","OK"))</f>
        <v>OK</v>
      </c>
    </row>
    <row r="17" customFormat="false" ht="15" hidden="false" customHeight="false" outlineLevel="0" collapsed="false">
      <c r="A17" s="2" t="s">
        <v>24</v>
      </c>
      <c r="B17" s="2" t="n">
        <v>1972</v>
      </c>
      <c r="C17" s="2" t="s">
        <v>16</v>
      </c>
      <c r="D17" s="3" t="n">
        <v>2850572</v>
      </c>
      <c r="E17" s="3" t="n">
        <v>5569090</v>
      </c>
      <c r="F17" s="2" t="s">
        <v>17</v>
      </c>
      <c r="G17" s="3" t="n">
        <v>1954</v>
      </c>
      <c r="H17" s="2" t="s">
        <v>15</v>
      </c>
      <c r="I17" s="2" t="n">
        <v>1000</v>
      </c>
      <c r="J17" s="4" t="n">
        <f aca="false">IFERROR(E17*I17/D17,"")</f>
        <v>1953.67456075482</v>
      </c>
      <c r="K17" s="5" t="n">
        <f aca="false">IFERROR((J17-G17)/G17,"")</f>
        <v>-0.000166550279005161</v>
      </c>
      <c r="L17" s="2" t="str">
        <f aca="false">IF(K17="","",IF(ABS(K17)&gt;0.05,"CHECK","OK"))</f>
        <v>OK</v>
      </c>
    </row>
    <row r="18" customFormat="false" ht="15" hidden="false" customHeight="false" outlineLevel="0" collapsed="false">
      <c r="A18" s="2" t="s">
        <v>25</v>
      </c>
      <c r="B18" s="2" t="n">
        <v>1973</v>
      </c>
      <c r="C18" s="2" t="s">
        <v>13</v>
      </c>
      <c r="D18" s="3" t="n">
        <v>5064964</v>
      </c>
      <c r="E18" s="3" t="n">
        <v>7299190</v>
      </c>
      <c r="F18" s="2" t="s">
        <v>14</v>
      </c>
      <c r="G18" s="3" t="n">
        <v>1441</v>
      </c>
      <c r="H18" s="2" t="s">
        <v>15</v>
      </c>
      <c r="I18" s="2" t="n">
        <v>1000</v>
      </c>
      <c r="J18" s="4" t="n">
        <f aca="false">IFERROR(E18*I18/D18,"")</f>
        <v>1441.11389538011</v>
      </c>
      <c r="K18" s="5" t="n">
        <f aca="false">IFERROR((J18-G18)/G18,"")</f>
        <v>7.90391256802948E-005</v>
      </c>
      <c r="L18" s="2" t="str">
        <f aca="false">IF(K18="","",IF(ABS(K18)&gt;0.05,"CHECK","OK"))</f>
        <v>OK</v>
      </c>
    </row>
    <row r="19" customFormat="false" ht="15" hidden="false" customHeight="false" outlineLevel="0" collapsed="false">
      <c r="A19" s="2" t="s">
        <v>25</v>
      </c>
      <c r="B19" s="2" t="n">
        <v>1973</v>
      </c>
      <c r="C19" s="2" t="s">
        <v>16</v>
      </c>
      <c r="D19" s="3" t="n">
        <v>2703825</v>
      </c>
      <c r="E19" s="3" t="n">
        <v>5558160</v>
      </c>
      <c r="F19" s="2" t="s">
        <v>17</v>
      </c>
      <c r="G19" s="3" t="n">
        <v>2056</v>
      </c>
      <c r="H19" s="2" t="s">
        <v>15</v>
      </c>
      <c r="I19" s="2" t="n">
        <v>1000</v>
      </c>
      <c r="J19" s="4" t="n">
        <f aca="false">IFERROR(E19*I19/D19,"")</f>
        <v>2055.66558486588</v>
      </c>
      <c r="K19" s="5" t="n">
        <f aca="false">IFERROR((J19-G19)/G19,"")</f>
        <v>-0.000162653275348111</v>
      </c>
      <c r="L19" s="2" t="str">
        <f aca="false">IF(K19="","",IF(ABS(K19)&gt;0.05,"CHECK","OK"))</f>
        <v>OK</v>
      </c>
    </row>
    <row r="20" customFormat="false" ht="15" hidden="false" customHeight="false" outlineLevel="0" collapsed="false">
      <c r="A20" s="2" t="s">
        <v>26</v>
      </c>
      <c r="B20" s="2" t="n">
        <v>1974</v>
      </c>
      <c r="C20" s="2" t="s">
        <v>13</v>
      </c>
      <c r="D20" s="3" t="n">
        <v>4403806</v>
      </c>
      <c r="E20" s="3" t="n">
        <v>4797160</v>
      </c>
      <c r="F20" s="2" t="s">
        <v>14</v>
      </c>
      <c r="G20" s="3" t="n">
        <v>1089</v>
      </c>
      <c r="H20" s="2" t="s">
        <v>15</v>
      </c>
      <c r="I20" s="2" t="n">
        <v>1000</v>
      </c>
      <c r="J20" s="4" t="n">
        <f aca="false">IFERROR(E20*I20/D20,"")</f>
        <v>1089.32137337567</v>
      </c>
      <c r="K20" s="5" t="n">
        <f aca="false">IFERROR((J20-G20)/G20,"")</f>
        <v>0.000295108701254661</v>
      </c>
      <c r="L20" s="2" t="str">
        <f aca="false">IF(K20="","",IF(ABS(K20)&gt;0.05,"CHECK","OK"))</f>
        <v>OK</v>
      </c>
    </row>
    <row r="21" customFormat="false" ht="15" hidden="false" customHeight="false" outlineLevel="0" collapsed="false">
      <c r="A21" s="2" t="s">
        <v>26</v>
      </c>
      <c r="B21" s="2" t="n">
        <v>1974</v>
      </c>
      <c r="C21" s="2" t="s">
        <v>16</v>
      </c>
      <c r="D21" s="3" t="n">
        <v>2238022</v>
      </c>
      <c r="E21" s="3" t="n">
        <v>3574700</v>
      </c>
      <c r="F21" s="2" t="s">
        <v>17</v>
      </c>
      <c r="G21" s="3" t="n">
        <v>1597</v>
      </c>
      <c r="H21" s="2" t="s">
        <v>15</v>
      </c>
      <c r="I21" s="2" t="n">
        <v>1000</v>
      </c>
      <c r="J21" s="4" t="n">
        <f aca="false">IFERROR(E21*I21/D21,"")</f>
        <v>1597.25865071925</v>
      </c>
      <c r="K21" s="5" t="n">
        <f aca="false">IFERROR((J21-G21)/G21,"")</f>
        <v>0.000161960375235527</v>
      </c>
      <c r="L21" s="2" t="str">
        <f aca="false">IF(K21="","",IF(ABS(K21)&gt;0.05,"CHECK","OK"))</f>
        <v>OK</v>
      </c>
    </row>
    <row r="22" customFormat="false" ht="15" hidden="false" customHeight="false" outlineLevel="0" collapsed="false">
      <c r="A22" s="2" t="s">
        <v>27</v>
      </c>
      <c r="B22" s="2" t="n">
        <v>1975</v>
      </c>
      <c r="C22" s="2" t="s">
        <v>13</v>
      </c>
      <c r="D22" s="3" t="n">
        <v>5068405</v>
      </c>
      <c r="E22" s="3" t="n">
        <v>7184450</v>
      </c>
      <c r="F22" s="2" t="s">
        <v>14</v>
      </c>
      <c r="G22" s="3" t="n">
        <v>1417</v>
      </c>
      <c r="H22" s="2" t="s">
        <v>15</v>
      </c>
      <c r="I22" s="2" t="n">
        <v>1000</v>
      </c>
      <c r="J22" s="4" t="n">
        <f aca="false">IFERROR(E22*I22/D22,"")</f>
        <v>1417.49722052598</v>
      </c>
      <c r="K22" s="5" t="n">
        <f aca="false">IFERROR((J22-G22)/G22,"")</f>
        <v>0.000350896630899046</v>
      </c>
      <c r="L22" s="2" t="str">
        <f aca="false">IF(K22="","",IF(ABS(K22)&gt;0.05,"CHECK","OK"))</f>
        <v>OK</v>
      </c>
    </row>
    <row r="23" customFormat="false" ht="15" hidden="false" customHeight="false" outlineLevel="0" collapsed="false">
      <c r="A23" s="2" t="s">
        <v>27</v>
      </c>
      <c r="B23" s="2" t="n">
        <v>1975</v>
      </c>
      <c r="C23" s="2" t="s">
        <v>16</v>
      </c>
      <c r="D23" s="3" t="n">
        <v>2563612</v>
      </c>
      <c r="E23" s="3" t="n">
        <v>5202720</v>
      </c>
      <c r="F23" s="2" t="s">
        <v>17</v>
      </c>
      <c r="G23" s="3" t="n">
        <v>2029</v>
      </c>
      <c r="H23" s="2" t="s">
        <v>15</v>
      </c>
      <c r="I23" s="2" t="n">
        <v>1000</v>
      </c>
      <c r="J23" s="4" t="n">
        <f aca="false">IFERROR(E23*I23/D23,"")</f>
        <v>2029.44907419688</v>
      </c>
      <c r="K23" s="5" t="n">
        <f aca="false">IFERROR((J23-G23)/G23,"")</f>
        <v>0.000221327844689623</v>
      </c>
      <c r="L23" s="2" t="str">
        <f aca="false">IF(K23="","",IF(ABS(K23)&gt;0.05,"CHECK","OK"))</f>
        <v>OK</v>
      </c>
    </row>
    <row r="24" customFormat="false" ht="15" hidden="false" customHeight="false" outlineLevel="0" collapsed="false">
      <c r="A24" s="2" t="s">
        <v>28</v>
      </c>
      <c r="B24" s="2" t="n">
        <v>1976</v>
      </c>
      <c r="C24" s="2" t="s">
        <v>13</v>
      </c>
      <c r="D24" s="3" t="n">
        <v>4906447</v>
      </c>
      <c r="E24" s="3" t="n">
        <v>6336560</v>
      </c>
      <c r="F24" s="2" t="s">
        <v>14</v>
      </c>
      <c r="G24" s="3" t="n">
        <v>1291</v>
      </c>
      <c r="H24" s="2" t="s">
        <v>15</v>
      </c>
      <c r="I24" s="2" t="n">
        <v>1000</v>
      </c>
      <c r="J24" s="4" t="n">
        <f aca="false">IFERROR(E24*I24/D24,"")</f>
        <v>1291.47629639126</v>
      </c>
      <c r="K24" s="5" t="n">
        <f aca="false">IFERROR((J24-G24)/G24,"")</f>
        <v>0.000368936011818979</v>
      </c>
      <c r="L24" s="2" t="str">
        <f aca="false">IF(K24="","",IF(ABS(K24)&gt;0.05,"CHECK","OK"))</f>
        <v>OK</v>
      </c>
    </row>
    <row r="25" customFormat="false" ht="15" hidden="false" customHeight="false" outlineLevel="0" collapsed="false">
      <c r="A25" s="2" t="s">
        <v>28</v>
      </c>
      <c r="B25" s="2" t="n">
        <v>1976</v>
      </c>
      <c r="C25" s="2" t="s">
        <v>16</v>
      </c>
      <c r="D25" s="3" t="n">
        <v>2283656</v>
      </c>
      <c r="E25" s="3" t="n">
        <v>4214800</v>
      </c>
      <c r="F25" s="2" t="s">
        <v>17</v>
      </c>
      <c r="G25" s="3" t="n">
        <v>1846</v>
      </c>
      <c r="H25" s="2" t="s">
        <v>15</v>
      </c>
      <c r="I25" s="2" t="n">
        <v>1000</v>
      </c>
      <c r="J25" s="4" t="n">
        <f aca="false">IFERROR(E25*I25/D25,"")</f>
        <v>1845.636996115</v>
      </c>
      <c r="K25" s="5" t="n">
        <f aca="false">IFERROR((J25-G25)/G25,"")</f>
        <v>-0.000196643491331817</v>
      </c>
      <c r="L25" s="2" t="str">
        <f aca="false">IF(K25="","",IF(ABS(K25)&gt;0.05,"CHECK","OK"))</f>
        <v>OK</v>
      </c>
    </row>
    <row r="26" customFormat="false" ht="15" hidden="false" customHeight="false" outlineLevel="0" collapsed="false">
      <c r="A26" s="2" t="s">
        <v>29</v>
      </c>
      <c r="B26" s="2" t="n">
        <v>1977</v>
      </c>
      <c r="C26" s="2" t="s">
        <v>13</v>
      </c>
      <c r="D26" s="3" t="n">
        <v>5302803</v>
      </c>
      <c r="E26" s="3" t="n">
        <v>7750490</v>
      </c>
      <c r="F26" s="2" t="s">
        <v>14</v>
      </c>
      <c r="G26" s="3" t="n">
        <v>1462</v>
      </c>
      <c r="H26" s="2" t="s">
        <v>15</v>
      </c>
      <c r="I26" s="2" t="n">
        <v>1000</v>
      </c>
      <c r="J26" s="4" t="n">
        <f aca="false">IFERROR(E26*I26/D26,"")</f>
        <v>1461.58361907844</v>
      </c>
      <c r="K26" s="5" t="n">
        <f aca="false">IFERROR((J26-G26)/G26,"")</f>
        <v>-0.000284802271930074</v>
      </c>
      <c r="L26" s="2" t="str">
        <f aca="false">IF(K26="","",IF(ABS(K26)&gt;0.05,"CHECK","OK"))</f>
        <v>OK</v>
      </c>
    </row>
    <row r="27" customFormat="false" ht="15" hidden="false" customHeight="false" outlineLevel="0" collapsed="false">
      <c r="A27" s="2" t="s">
        <v>29</v>
      </c>
      <c r="B27" s="2" t="n">
        <v>1977</v>
      </c>
      <c r="C27" s="2" t="s">
        <v>16</v>
      </c>
      <c r="D27" s="3" t="n">
        <v>2782333</v>
      </c>
      <c r="E27" s="3" t="n">
        <v>5704966</v>
      </c>
      <c r="F27" s="2" t="s">
        <v>17</v>
      </c>
      <c r="G27" s="3" t="n">
        <v>2050</v>
      </c>
      <c r="H27" s="2" t="s">
        <v>15</v>
      </c>
      <c r="I27" s="2" t="n">
        <v>1000</v>
      </c>
      <c r="J27" s="4" t="n">
        <f aca="false">IFERROR(E27*I27/D27,"")</f>
        <v>2050.42530854502</v>
      </c>
      <c r="K27" s="5" t="n">
        <f aca="false">IFERROR((J27-G27)/G27,"")</f>
        <v>0.000207467582938146</v>
      </c>
      <c r="L27" s="2" t="str">
        <f aca="false">IF(K27="","",IF(ABS(K27)&gt;0.05,"CHECK","OK"))</f>
        <v>OK</v>
      </c>
    </row>
    <row r="28" customFormat="false" ht="15" hidden="false" customHeight="false" outlineLevel="0" collapsed="false">
      <c r="A28" s="2" t="s">
        <v>30</v>
      </c>
      <c r="B28" s="2" t="n">
        <v>1978</v>
      </c>
      <c r="C28" s="2" t="s">
        <v>13</v>
      </c>
      <c r="D28" s="3" t="n">
        <v>5155783</v>
      </c>
      <c r="E28" s="3" t="n">
        <v>7597930</v>
      </c>
      <c r="F28" s="2" t="s">
        <v>14</v>
      </c>
      <c r="G28" s="3" t="n">
        <v>1474</v>
      </c>
      <c r="H28" s="2" t="s">
        <v>15</v>
      </c>
      <c r="I28" s="2" t="n">
        <v>1000</v>
      </c>
      <c r="J28" s="4" t="n">
        <f aca="false">IFERROR(E28*I28/D28,"")</f>
        <v>1473.67140936692</v>
      </c>
      <c r="K28" s="5" t="n">
        <f aca="false">IFERROR((J28-G28)/G28,"")</f>
        <v>-0.000222924445781123</v>
      </c>
      <c r="L28" s="2" t="str">
        <f aca="false">IF(K28="","",IF(ABS(K28)&gt;0.05,"CHECK","OK"))</f>
        <v>OK</v>
      </c>
    </row>
    <row r="29" customFormat="false" ht="15" hidden="false" customHeight="false" outlineLevel="0" collapsed="false">
      <c r="A29" s="2" t="s">
        <v>30</v>
      </c>
      <c r="B29" s="2" t="n">
        <v>1978</v>
      </c>
      <c r="C29" s="2" t="s">
        <v>16</v>
      </c>
      <c r="D29" s="3" t="n">
        <v>2756451</v>
      </c>
      <c r="E29" s="3" t="n">
        <v>5558640</v>
      </c>
      <c r="F29" s="2" t="s">
        <v>17</v>
      </c>
      <c r="G29" s="3" t="n">
        <v>2017</v>
      </c>
      <c r="H29" s="2" t="s">
        <v>15</v>
      </c>
      <c r="I29" s="2" t="n">
        <v>1000</v>
      </c>
      <c r="J29" s="4" t="n">
        <f aca="false">IFERROR(E29*I29/D29,"")</f>
        <v>2016.59307566142</v>
      </c>
      <c r="K29" s="5" t="n">
        <f aca="false">IFERROR((J29-G29)/G29,"")</f>
        <v>-0.000201747317094123</v>
      </c>
      <c r="L29" s="2" t="str">
        <f aca="false">IF(K29="","",IF(ABS(K29)&gt;0.05,"CHECK","OK"))</f>
        <v>OK</v>
      </c>
    </row>
    <row r="30" customFormat="false" ht="15" hidden="false" customHeight="false" outlineLevel="0" collapsed="false">
      <c r="A30" s="2" t="s">
        <v>31</v>
      </c>
      <c r="B30" s="2" t="n">
        <v>1979</v>
      </c>
      <c r="C30" s="2" t="s">
        <v>13</v>
      </c>
      <c r="D30" s="3" t="n">
        <v>5252735</v>
      </c>
      <c r="E30" s="3" t="n">
        <v>7640920</v>
      </c>
      <c r="F30" s="2" t="s">
        <v>14</v>
      </c>
      <c r="G30" s="3" t="n">
        <v>1455</v>
      </c>
      <c r="H30" s="2" t="s">
        <v>15</v>
      </c>
      <c r="I30" s="2" t="n">
        <v>1000</v>
      </c>
      <c r="J30" s="4" t="n">
        <f aca="false">IFERROR(E30*I30/D30,"")</f>
        <v>1454.65552707304</v>
      </c>
      <c r="K30" s="5" t="n">
        <f aca="false">IFERROR((J30-G30)/G30,"")</f>
        <v>-0.00023675115255042</v>
      </c>
      <c r="L30" s="2" t="str">
        <f aca="false">IF(K30="","",IF(ABS(K30)&gt;0.05,"CHECK","OK"))</f>
        <v>OK</v>
      </c>
    </row>
    <row r="31" customFormat="false" ht="15" hidden="false" customHeight="false" outlineLevel="0" collapsed="false">
      <c r="A31" s="2" t="s">
        <v>31</v>
      </c>
      <c r="B31" s="2" t="n">
        <v>1979</v>
      </c>
      <c r="C31" s="2" t="s">
        <v>16</v>
      </c>
      <c r="D31" s="3" t="n">
        <v>2906440</v>
      </c>
      <c r="E31" s="3" t="n">
        <v>5799930</v>
      </c>
      <c r="F31" s="2" t="s">
        <v>17</v>
      </c>
      <c r="G31" s="3" t="n">
        <v>1996</v>
      </c>
      <c r="H31" s="2" t="s">
        <v>15</v>
      </c>
      <c r="I31" s="2" t="n">
        <v>1000</v>
      </c>
      <c r="J31" s="4" t="n">
        <f aca="false">IFERROR(E31*I31/D31,"")</f>
        <v>1995.54437731383</v>
      </c>
      <c r="K31" s="5" t="n">
        <f aca="false">IFERROR((J31-G31)/G31,"")</f>
        <v>-0.000228267878844075</v>
      </c>
      <c r="L31" s="2" t="str">
        <f aca="false">IF(K31="","",IF(ABS(K31)&gt;0.05,"CHECK","OK"))</f>
        <v>OK</v>
      </c>
    </row>
    <row r="32" customFormat="false" ht="15" hidden="false" customHeight="false" outlineLevel="0" collapsed="false">
      <c r="A32" s="2" t="s">
        <v>32</v>
      </c>
      <c r="B32" s="2" t="n">
        <v>1980</v>
      </c>
      <c r="C32" s="2" t="s">
        <v>13</v>
      </c>
      <c r="D32" s="3" t="n">
        <v>4246750</v>
      </c>
      <c r="E32" s="3" t="n">
        <v>5651440</v>
      </c>
      <c r="F32" s="2" t="s">
        <v>14</v>
      </c>
      <c r="G32" s="3" t="n">
        <v>1331</v>
      </c>
      <c r="H32" s="2" t="s">
        <v>15</v>
      </c>
      <c r="I32" s="2" t="n">
        <v>1000</v>
      </c>
      <c r="J32" s="4" t="n">
        <f aca="false">IFERROR(E32*I32/D32,"")</f>
        <v>1330.76823453229</v>
      </c>
      <c r="K32" s="5" t="n">
        <f aca="false">IFERROR((J32-G32)/G32,"")</f>
        <v>-0.000174128826228852</v>
      </c>
      <c r="L32" s="2" t="str">
        <f aca="false">IF(K32="","",IF(ABS(K32)&gt;0.05,"CHECK","OK"))</f>
        <v>OK</v>
      </c>
    </row>
    <row r="33" customFormat="false" ht="15" hidden="false" customHeight="false" outlineLevel="0" collapsed="false">
      <c r="A33" s="2" t="s">
        <v>32</v>
      </c>
      <c r="B33" s="2" t="n">
        <v>1980</v>
      </c>
      <c r="C33" s="2" t="s">
        <v>16</v>
      </c>
      <c r="D33" s="3" t="n">
        <v>2299460</v>
      </c>
      <c r="E33" s="3" t="n">
        <v>4278820</v>
      </c>
      <c r="F33" s="2" t="s">
        <v>17</v>
      </c>
      <c r="G33" s="3" t="n">
        <v>1861</v>
      </c>
      <c r="H33" s="2" t="s">
        <v>15</v>
      </c>
      <c r="I33" s="2" t="n">
        <v>1000</v>
      </c>
      <c r="J33" s="4" t="n">
        <f aca="false">IFERROR(E33*I33/D33,"")</f>
        <v>1860.79340366869</v>
      </c>
      <c r="K33" s="5" t="n">
        <f aca="false">IFERROR((J33-G33)/G33,"")</f>
        <v>-0.000111013611667136</v>
      </c>
      <c r="L33" s="2" t="str">
        <f aca="false">IF(K33="","",IF(ABS(K33)&gt;0.05,"CHECK","OK"))</f>
        <v>OK</v>
      </c>
    </row>
    <row r="34" customFormat="false" ht="15" hidden="false" customHeight="false" outlineLevel="0" collapsed="false">
      <c r="A34" s="2" t="s">
        <v>33</v>
      </c>
      <c r="B34" s="2" t="n">
        <v>1981</v>
      </c>
      <c r="C34" s="2" t="s">
        <v>13</v>
      </c>
      <c r="D34" s="3" t="n">
        <v>4661553</v>
      </c>
      <c r="E34" s="3" t="n">
        <v>7375930</v>
      </c>
      <c r="F34" s="2" t="s">
        <v>14</v>
      </c>
      <c r="G34" s="3" t="n">
        <v>1582</v>
      </c>
      <c r="H34" s="2" t="s">
        <v>15</v>
      </c>
      <c r="I34" s="2" t="n">
        <v>1000</v>
      </c>
      <c r="J34" s="4" t="n">
        <f aca="false">IFERROR(E34*I34/D34,"")</f>
        <v>1582.29027965573</v>
      </c>
      <c r="K34" s="5" t="n">
        <f aca="false">IFERROR((J34-G34)/G34,"")</f>
        <v>0.000183489036490806</v>
      </c>
      <c r="L34" s="2" t="str">
        <f aca="false">IF(K34="","",IF(ABS(K34)&gt;0.05,"CHECK","OK"))</f>
        <v>OK</v>
      </c>
    </row>
    <row r="35" customFormat="false" ht="15" hidden="false" customHeight="false" outlineLevel="0" collapsed="false">
      <c r="A35" s="2" t="s">
        <v>33</v>
      </c>
      <c r="B35" s="2" t="n">
        <v>1981</v>
      </c>
      <c r="C35" s="2" t="s">
        <v>16</v>
      </c>
      <c r="D35" s="3" t="n">
        <v>2507850</v>
      </c>
      <c r="E35" s="3" t="n">
        <v>5680760</v>
      </c>
      <c r="F35" s="2" t="s">
        <v>17</v>
      </c>
      <c r="G35" s="3" t="n">
        <v>2265</v>
      </c>
      <c r="H35" s="2" t="s">
        <v>15</v>
      </c>
      <c r="I35" s="2" t="n">
        <v>1000</v>
      </c>
      <c r="J35" s="4" t="n">
        <f aca="false">IFERROR(E35*I35/D35,"")</f>
        <v>2265.19129932014</v>
      </c>
      <c r="K35" s="5" t="n">
        <f aca="false">IFERROR((J35-G35)/G35,"")</f>
        <v>8.44588609867245E-005</v>
      </c>
      <c r="L35" s="2" t="str">
        <f aca="false">IF(K35="","",IF(ABS(K35)&gt;0.05,"CHECK","OK"))</f>
        <v>OK</v>
      </c>
    </row>
    <row r="36" customFormat="false" ht="15" hidden="false" customHeight="false" outlineLevel="0" collapsed="false">
      <c r="A36" s="2" t="s">
        <v>34</v>
      </c>
      <c r="B36" s="2" t="n">
        <v>1982</v>
      </c>
      <c r="C36" s="2" t="s">
        <v>13</v>
      </c>
      <c r="D36" s="3" t="n">
        <v>3929112</v>
      </c>
      <c r="E36" s="3" t="n">
        <v>4922780</v>
      </c>
      <c r="F36" s="2" t="s">
        <v>14</v>
      </c>
      <c r="G36" s="3" t="n">
        <v>1253</v>
      </c>
      <c r="H36" s="2" t="s">
        <v>15</v>
      </c>
      <c r="I36" s="2" t="n">
        <v>1000</v>
      </c>
      <c r="J36" s="4" t="n">
        <f aca="false">IFERROR(E36*I36/D36,"")</f>
        <v>1252.89887384223</v>
      </c>
      <c r="K36" s="5" t="n">
        <f aca="false">IFERROR((J36-G36)/G36,"")</f>
        <v>-8.07072288651409E-005</v>
      </c>
      <c r="L36" s="2" t="str">
        <f aca="false">IF(K36="","",IF(ABS(K36)&gt;0.05,"CHECK","OK"))</f>
        <v>OK</v>
      </c>
    </row>
    <row r="37" customFormat="false" ht="15" hidden="false" customHeight="false" outlineLevel="0" collapsed="false">
      <c r="A37" s="2" t="s">
        <v>34</v>
      </c>
      <c r="B37" s="2" t="n">
        <v>1982</v>
      </c>
      <c r="C37" s="2" t="s">
        <v>16</v>
      </c>
      <c r="D37" s="3" t="n">
        <v>1974335</v>
      </c>
      <c r="E37" s="3" t="n">
        <v>3642340</v>
      </c>
      <c r="F37" s="2" t="s">
        <v>17</v>
      </c>
      <c r="G37" s="3" t="n">
        <v>1845</v>
      </c>
      <c r="H37" s="2" t="s">
        <v>15</v>
      </c>
      <c r="I37" s="2" t="n">
        <v>1000</v>
      </c>
      <c r="J37" s="4" t="n">
        <f aca="false">IFERROR(E37*I37/D37,"")</f>
        <v>1844.84396011822</v>
      </c>
      <c r="K37" s="5" t="n">
        <f aca="false">IFERROR((J37-G37)/G37,"")</f>
        <v>-8.45744616710269E-005</v>
      </c>
      <c r="L37" s="2" t="str">
        <f aca="false">IF(K37="","",IF(ABS(K37)&gt;0.05,"CHECK","OK"))</f>
        <v>OK</v>
      </c>
    </row>
    <row r="38" customFormat="false" ht="15" hidden="false" customHeight="false" outlineLevel="0" collapsed="false">
      <c r="A38" s="2" t="s">
        <v>35</v>
      </c>
      <c r="B38" s="2" t="n">
        <v>1983</v>
      </c>
      <c r="C38" s="2" t="s">
        <v>13</v>
      </c>
      <c r="D38" s="3" t="n">
        <v>4678703</v>
      </c>
      <c r="E38" s="3" t="n">
        <v>6260990</v>
      </c>
      <c r="F38" s="2" t="s">
        <v>14</v>
      </c>
      <c r="G38" s="3" t="n">
        <v>1338</v>
      </c>
      <c r="H38" s="2" t="s">
        <v>15</v>
      </c>
      <c r="I38" s="2" t="n">
        <v>1000</v>
      </c>
      <c r="J38" s="4" t="n">
        <f aca="false">IFERROR(E38*I38/D38,"")</f>
        <v>1338.1892374874</v>
      </c>
      <c r="K38" s="5" t="n">
        <f aca="false">IFERROR((J38-G38)/G38,"")</f>
        <v>0.000141433099699235</v>
      </c>
      <c r="L38" s="2" t="str">
        <f aca="false">IF(K38="","",IF(ABS(K38)&gt;0.05,"CHECK","OK"))</f>
        <v>OK</v>
      </c>
    </row>
    <row r="39" customFormat="false" ht="15" hidden="false" customHeight="false" outlineLevel="0" collapsed="false">
      <c r="A39" s="2" t="s">
        <v>35</v>
      </c>
      <c r="B39" s="2" t="n">
        <v>1983</v>
      </c>
      <c r="C39" s="2" t="s">
        <v>16</v>
      </c>
      <c r="D39" s="3" t="n">
        <v>2420103</v>
      </c>
      <c r="E39" s="3" t="n">
        <v>4633260</v>
      </c>
      <c r="F39" s="2" t="s">
        <v>17</v>
      </c>
      <c r="G39" s="3" t="n">
        <v>1914</v>
      </c>
      <c r="H39" s="2" t="s">
        <v>15</v>
      </c>
      <c r="I39" s="2" t="n">
        <v>1000</v>
      </c>
      <c r="J39" s="4" t="n">
        <f aca="false">IFERROR(E39*I39/D39,"")</f>
        <v>1914.48876349478</v>
      </c>
      <c r="K39" s="5" t="n">
        <f aca="false">IFERROR((J39-G39)/G39,"")</f>
        <v>0.00025536232746958</v>
      </c>
      <c r="L39" s="2" t="str">
        <f aca="false">IF(K39="","",IF(ABS(K39)&gt;0.05,"CHECK","OK"))</f>
        <v>OK</v>
      </c>
    </row>
    <row r="40" customFormat="false" ht="15" hidden="false" customHeight="false" outlineLevel="0" collapsed="false">
      <c r="A40" s="2" t="s">
        <v>36</v>
      </c>
      <c r="B40" s="2" t="n">
        <v>1984</v>
      </c>
      <c r="C40" s="2" t="s">
        <v>13</v>
      </c>
      <c r="D40" s="3" t="n">
        <v>4628963</v>
      </c>
      <c r="E40" s="3" t="n">
        <v>6887640</v>
      </c>
      <c r="F40" s="2" t="s">
        <v>14</v>
      </c>
      <c r="G40" s="3" t="n">
        <v>1488</v>
      </c>
      <c r="H40" s="2" t="s">
        <v>15</v>
      </c>
      <c r="I40" s="2" t="n">
        <v>1000</v>
      </c>
      <c r="J40" s="4" t="n">
        <f aca="false">IFERROR(E40*I40/D40,"")</f>
        <v>1487.94449210331</v>
      </c>
      <c r="K40" s="5" t="n">
        <f aca="false">IFERROR((J40-G40)/G40,"")</f>
        <v>-3.73036940142092E-005</v>
      </c>
      <c r="L40" s="2" t="str">
        <f aca="false">IF(K40="","",IF(ABS(K40)&gt;0.05,"CHECK","OK"))</f>
        <v>OK</v>
      </c>
    </row>
    <row r="41" customFormat="false" ht="15" hidden="false" customHeight="false" outlineLevel="0" collapsed="false">
      <c r="A41" s="2" t="s">
        <v>36</v>
      </c>
      <c r="B41" s="2" t="n">
        <v>1984</v>
      </c>
      <c r="C41" s="2" t="s">
        <v>16</v>
      </c>
      <c r="D41" s="3" t="n">
        <v>2509271</v>
      </c>
      <c r="E41" s="3" t="n">
        <v>5365370</v>
      </c>
      <c r="F41" s="2" t="s">
        <v>17</v>
      </c>
      <c r="G41" s="3" t="n">
        <v>2138</v>
      </c>
      <c r="H41" s="2" t="s">
        <v>15</v>
      </c>
      <c r="I41" s="2" t="n">
        <v>1000</v>
      </c>
      <c r="J41" s="4" t="n">
        <f aca="false">IFERROR(E41*I41/D41,"")</f>
        <v>2138.21863003239</v>
      </c>
      <c r="K41" s="5" t="n">
        <f aca="false">IFERROR((J41-G41)/G41,"")</f>
        <v>0.0001022591358222</v>
      </c>
      <c r="L41" s="2" t="str">
        <f aca="false">IF(K41="","",IF(ABS(K41)&gt;0.05,"CHECK","OK"))</f>
        <v>OK</v>
      </c>
    </row>
    <row r="42" customFormat="false" ht="15" hidden="false" customHeight="false" outlineLevel="0" collapsed="false">
      <c r="A42" s="2" t="s">
        <v>37</v>
      </c>
      <c r="B42" s="2" t="n">
        <v>1985</v>
      </c>
      <c r="C42" s="2" t="s">
        <v>13</v>
      </c>
      <c r="D42" s="3" t="n">
        <v>4358347</v>
      </c>
      <c r="E42" s="3" t="n">
        <v>7270060</v>
      </c>
      <c r="F42" s="2" t="s">
        <v>14</v>
      </c>
      <c r="G42" s="3" t="n">
        <v>1668</v>
      </c>
      <c r="H42" s="2" t="s">
        <v>15</v>
      </c>
      <c r="I42" s="2" t="n">
        <v>1000</v>
      </c>
      <c r="J42" s="4" t="n">
        <f aca="false">IFERROR(E42*I42/D42,"")</f>
        <v>1668.07736970003</v>
      </c>
      <c r="K42" s="5" t="n">
        <f aca="false">IFERROR((J42-G42)/G42,"")</f>
        <v>4.63847122458698E-005</v>
      </c>
      <c r="L42" s="2" t="str">
        <f aca="false">IF(K42="","",IF(ABS(K42)&gt;0.05,"CHECK","OK"))</f>
        <v>OK</v>
      </c>
    </row>
    <row r="43" customFormat="false" ht="15" hidden="false" customHeight="false" outlineLevel="0" collapsed="false">
      <c r="A43" s="2" t="s">
        <v>37</v>
      </c>
      <c r="B43" s="2" t="n">
        <v>1985</v>
      </c>
      <c r="C43" s="2" t="s">
        <v>16</v>
      </c>
      <c r="D43" s="3" t="n">
        <v>2264293</v>
      </c>
      <c r="E43" s="3" t="n">
        <v>5370490</v>
      </c>
      <c r="F43" s="2" t="s">
        <v>17</v>
      </c>
      <c r="G43" s="3" t="n">
        <v>2372</v>
      </c>
      <c r="H43" s="2" t="s">
        <v>15</v>
      </c>
      <c r="I43" s="2" t="n">
        <v>1000</v>
      </c>
      <c r="J43" s="4" t="n">
        <f aca="false">IFERROR(E43*I43/D43,"")</f>
        <v>2371.81760487711</v>
      </c>
      <c r="K43" s="5" t="n">
        <f aca="false">IFERROR((J43-G43)/G43,"")</f>
        <v>-7.68950771047884E-005</v>
      </c>
      <c r="L43" s="2" t="str">
        <f aca="false">IF(K43="","",IF(ABS(K43)&gt;0.05,"CHECK","OK"))</f>
        <v>OK</v>
      </c>
    </row>
    <row r="44" customFormat="false" ht="15" hidden="false" customHeight="false" outlineLevel="0" collapsed="false">
      <c r="A44" s="2" t="s">
        <v>38</v>
      </c>
      <c r="B44" s="2" t="n">
        <v>1986</v>
      </c>
      <c r="C44" s="2" t="s">
        <v>13</v>
      </c>
      <c r="D44" s="3" t="n">
        <v>4132863</v>
      </c>
      <c r="E44" s="3" t="n">
        <v>7181240</v>
      </c>
      <c r="F44" s="2" t="s">
        <v>14</v>
      </c>
      <c r="G44" s="3" t="n">
        <v>1738</v>
      </c>
      <c r="H44" s="2" t="s">
        <v>15</v>
      </c>
      <c r="I44" s="2" t="n">
        <v>1000</v>
      </c>
      <c r="J44" s="4" t="n">
        <f aca="false">IFERROR(E44*I44/D44,"")</f>
        <v>1737.59449563172</v>
      </c>
      <c r="K44" s="5" t="n">
        <f aca="false">IFERROR((J44-G44)/G44,"")</f>
        <v>-0.000233316667594507</v>
      </c>
      <c r="L44" s="2" t="str">
        <f aca="false">IF(K44="","",IF(ABS(K44)&gt;0.05,"CHECK","OK"))</f>
        <v>OK</v>
      </c>
    </row>
    <row r="45" customFormat="false" ht="15" hidden="false" customHeight="false" outlineLevel="0" collapsed="false">
      <c r="A45" s="2" t="s">
        <v>38</v>
      </c>
      <c r="B45" s="2" t="n">
        <v>1986</v>
      </c>
      <c r="C45" s="2" t="s">
        <v>16</v>
      </c>
      <c r="D45" s="3" t="n">
        <v>1955155</v>
      </c>
      <c r="E45" s="3" t="n">
        <v>5332700</v>
      </c>
      <c r="F45" s="2" t="s">
        <v>17</v>
      </c>
      <c r="G45" s="3" t="n">
        <v>2728</v>
      </c>
      <c r="H45" s="2" t="s">
        <v>15</v>
      </c>
      <c r="I45" s="2" t="n">
        <v>1000</v>
      </c>
      <c r="J45" s="4" t="n">
        <f aca="false">IFERROR(E45*I45/D45,"")</f>
        <v>2727.50753776555</v>
      </c>
      <c r="K45" s="5" t="n">
        <f aca="false">IFERROR((J45-G45)/G45,"")</f>
        <v>-0.000180521346939874</v>
      </c>
      <c r="L45" s="2" t="str">
        <f aca="false">IF(K45="","",IF(ABS(K45)&gt;0.05,"CHECK","OK"))</f>
        <v>OK</v>
      </c>
    </row>
    <row r="46" customFormat="false" ht="15" hidden="false" customHeight="false" outlineLevel="0" collapsed="false">
      <c r="A46" s="2" t="s">
        <v>39</v>
      </c>
      <c r="B46" s="2" t="n">
        <v>1987</v>
      </c>
      <c r="C46" s="2" t="s">
        <v>13</v>
      </c>
      <c r="D46" s="3" t="n">
        <v>3996359</v>
      </c>
      <c r="E46" s="3" t="n">
        <v>7480120</v>
      </c>
      <c r="F46" s="2" t="s">
        <v>14</v>
      </c>
      <c r="G46" s="3" t="n">
        <v>1872</v>
      </c>
      <c r="H46" s="2" t="s">
        <v>15</v>
      </c>
      <c r="I46" s="2" t="n">
        <v>1000</v>
      </c>
      <c r="J46" s="4" t="n">
        <f aca="false">IFERROR(E46*I46/D46,"")</f>
        <v>1871.73374564197</v>
      </c>
      <c r="K46" s="5" t="n">
        <f aca="false">IFERROR((J46-G46)/G46,"")</f>
        <v>-0.000142229892109669</v>
      </c>
      <c r="L46" s="2" t="str">
        <f aca="false">IF(K46="","",IF(ABS(K46)&gt;0.05,"CHECK","OK"))</f>
        <v>OK</v>
      </c>
    </row>
    <row r="47" customFormat="false" ht="15" hidden="false" customHeight="false" outlineLevel="0" collapsed="false">
      <c r="A47" s="2" t="s">
        <v>39</v>
      </c>
      <c r="B47" s="2" t="n">
        <v>1987</v>
      </c>
      <c r="C47" s="2" t="s">
        <v>16</v>
      </c>
      <c r="D47" s="3" t="n">
        <v>1954836</v>
      </c>
      <c r="E47" s="3" t="n">
        <v>5613530</v>
      </c>
      <c r="F47" s="2" t="s">
        <v>17</v>
      </c>
      <c r="G47" s="3" t="n">
        <v>2872</v>
      </c>
      <c r="H47" s="2" t="s">
        <v>15</v>
      </c>
      <c r="I47" s="2" t="n">
        <v>1000</v>
      </c>
      <c r="J47" s="4" t="n">
        <f aca="false">IFERROR(E47*I47/D47,"")</f>
        <v>2871.61173622749</v>
      </c>
      <c r="K47" s="5" t="n">
        <f aca="false">IFERROR((J47-G47)/G47,"")</f>
        <v>-0.000135189335832515</v>
      </c>
      <c r="L47" s="2" t="str">
        <f aca="false">IF(K47="","",IF(ABS(K47)&gt;0.05,"CHECK","OK"))</f>
        <v>OK</v>
      </c>
    </row>
    <row r="48" customFormat="false" ht="15" hidden="false" customHeight="false" outlineLevel="0" collapsed="false">
      <c r="A48" s="2" t="s">
        <v>40</v>
      </c>
      <c r="B48" s="2" t="n">
        <v>1988</v>
      </c>
      <c r="C48" s="2" t="s">
        <v>13</v>
      </c>
      <c r="D48" s="3" t="n">
        <v>3742497</v>
      </c>
      <c r="E48" s="3" t="n">
        <v>7329480</v>
      </c>
      <c r="F48" s="2" t="s">
        <v>14</v>
      </c>
      <c r="G48" s="3" t="n">
        <v>1958</v>
      </c>
      <c r="H48" s="2" t="s">
        <v>15</v>
      </c>
      <c r="I48" s="2" t="n">
        <v>1000</v>
      </c>
      <c r="J48" s="4" t="n">
        <f aca="false">IFERROR(E48*I48/D48,"")</f>
        <v>1958.44645967652</v>
      </c>
      <c r="K48" s="5" t="n">
        <f aca="false">IFERROR((J48-G48)/G48,"")</f>
        <v>0.000228018220899294</v>
      </c>
      <c r="L48" s="2" t="str">
        <f aca="false">IF(K48="","",IF(ABS(K48)&gt;0.05,"CHECK","OK"))</f>
        <v>OK</v>
      </c>
    </row>
    <row r="49" customFormat="false" ht="15" hidden="false" customHeight="false" outlineLevel="0" collapsed="false">
      <c r="A49" s="2" t="s">
        <v>40</v>
      </c>
      <c r="B49" s="2" t="n">
        <v>1988</v>
      </c>
      <c r="C49" s="2" t="s">
        <v>16</v>
      </c>
      <c r="D49" s="3" t="n">
        <v>1880953</v>
      </c>
      <c r="E49" s="3" t="n">
        <v>5703600</v>
      </c>
      <c r="F49" s="2" t="s">
        <v>17</v>
      </c>
      <c r="G49" s="3" t="n">
        <v>3032</v>
      </c>
      <c r="H49" s="2" t="s">
        <v>15</v>
      </c>
      <c r="I49" s="2" t="n">
        <v>1000</v>
      </c>
      <c r="J49" s="4" t="n">
        <f aca="false">IFERROR(E49*I49/D49,"")</f>
        <v>3032.29267291634</v>
      </c>
      <c r="K49" s="5" t="n">
        <f aca="false">IFERROR((J49-G49)/G49,"")</f>
        <v>9.65280067069607E-005</v>
      </c>
      <c r="L49" s="2" t="str">
        <f aca="false">IF(K49="","",IF(ABS(K49)&gt;0.05,"CHECK","OK"))</f>
        <v>OK</v>
      </c>
    </row>
    <row r="50" customFormat="false" ht="15" hidden="false" customHeight="false" outlineLevel="0" collapsed="false">
      <c r="A50" s="2" t="s">
        <v>41</v>
      </c>
      <c r="B50" s="2" t="n">
        <v>1989</v>
      </c>
      <c r="C50" s="2" t="s">
        <v>13</v>
      </c>
      <c r="D50" s="3" t="n">
        <v>4023629</v>
      </c>
      <c r="E50" s="3" t="n">
        <v>7916750</v>
      </c>
      <c r="F50" s="2" t="s">
        <v>14</v>
      </c>
      <c r="G50" s="3" t="n">
        <v>1968</v>
      </c>
      <c r="H50" s="2" t="s">
        <v>15</v>
      </c>
      <c r="I50" s="2" t="n">
        <v>1000</v>
      </c>
      <c r="J50" s="4" t="n">
        <f aca="false">IFERROR(E50*I50/D50,"")</f>
        <v>1967.56460399306</v>
      </c>
      <c r="K50" s="5" t="n">
        <f aca="false">IFERROR((J50-G50)/G50,"")</f>
        <v>-0.000221237808403423</v>
      </c>
      <c r="L50" s="2" t="str">
        <f aca="false">IF(K50="","",IF(ABS(K50)&gt;0.05,"CHECK","OK"))</f>
        <v>OK</v>
      </c>
    </row>
    <row r="51" customFormat="false" ht="15" hidden="false" customHeight="false" outlineLevel="0" collapsed="false">
      <c r="A51" s="2" t="s">
        <v>41</v>
      </c>
      <c r="B51" s="2" t="n">
        <v>1989</v>
      </c>
      <c r="C51" s="2" t="s">
        <v>16</v>
      </c>
      <c r="D51" s="3" t="n">
        <v>1963228</v>
      </c>
      <c r="E51" s="3" t="n">
        <v>6063400</v>
      </c>
      <c r="F51" s="2" t="s">
        <v>17</v>
      </c>
      <c r="G51" s="3" t="n">
        <v>3088</v>
      </c>
      <c r="H51" s="2" t="s">
        <v>15</v>
      </c>
      <c r="I51" s="2" t="n">
        <v>1000</v>
      </c>
      <c r="J51" s="4" t="n">
        <f aca="false">IFERROR(E51*I51/D51,"")</f>
        <v>3088.48488305994</v>
      </c>
      <c r="K51" s="5" t="n">
        <f aca="false">IFERROR((J51-G51)/G51,"")</f>
        <v>0.000157021716301773</v>
      </c>
      <c r="L51" s="2" t="str">
        <f aca="false">IF(K51="","",IF(ABS(K51)&gt;0.05,"CHECK","OK"))</f>
        <v>OK</v>
      </c>
    </row>
    <row r="52" customFormat="false" ht="15" hidden="false" customHeight="false" outlineLevel="0" collapsed="false">
      <c r="A52" s="2" t="s">
        <v>42</v>
      </c>
      <c r="B52" s="2" t="n">
        <v>1990</v>
      </c>
      <c r="C52" s="2" t="s">
        <v>13</v>
      </c>
      <c r="D52" s="3" t="n">
        <v>3885132</v>
      </c>
      <c r="E52" s="3" t="n">
        <v>7495640</v>
      </c>
      <c r="F52" s="2" t="s">
        <v>14</v>
      </c>
      <c r="G52" s="3" t="n">
        <v>1929</v>
      </c>
      <c r="H52" s="2" t="s">
        <v>15</v>
      </c>
      <c r="I52" s="2" t="n">
        <v>1000</v>
      </c>
      <c r="J52" s="4" t="n">
        <f aca="false">IFERROR(E52*I52/D52,"")</f>
        <v>1929.31411339435</v>
      </c>
      <c r="K52" s="5" t="n">
        <f aca="false">IFERROR((J52-G52)/G52,"")</f>
        <v>0.000162837425788201</v>
      </c>
      <c r="L52" s="2" t="str">
        <f aca="false">IF(K52="","",IF(ABS(K52)&gt;0.05,"CHECK","OK"))</f>
        <v>OK</v>
      </c>
    </row>
    <row r="53" customFormat="false" ht="15" hidden="false" customHeight="false" outlineLevel="0" collapsed="false">
      <c r="A53" s="2" t="s">
        <v>42</v>
      </c>
      <c r="B53" s="2" t="n">
        <v>1990</v>
      </c>
      <c r="C53" s="2" t="s">
        <v>16</v>
      </c>
      <c r="D53" s="3" t="n">
        <v>1855741</v>
      </c>
      <c r="E53" s="3" t="n">
        <v>5782440</v>
      </c>
      <c r="F53" s="2" t="s">
        <v>17</v>
      </c>
      <c r="G53" s="3" t="n">
        <v>3116</v>
      </c>
      <c r="H53" s="2" t="s">
        <v>15</v>
      </c>
      <c r="I53" s="2" t="n">
        <v>1000</v>
      </c>
      <c r="J53" s="4" t="n">
        <f aca="false">IFERROR(E53*I53/D53,"")</f>
        <v>3115.97361916345</v>
      </c>
      <c r="K53" s="5" t="n">
        <f aca="false">IFERROR((J53-G53)/G53,"")</f>
        <v>-8.46625049737916E-006</v>
      </c>
      <c r="L53" s="2" t="str">
        <f aca="false">IF(K53="","",IF(ABS(K53)&gt;0.05,"CHECK","OK"))</f>
        <v>OK</v>
      </c>
    </row>
    <row r="54" customFormat="false" ht="15" hidden="false" customHeight="false" outlineLevel="0" collapsed="false">
      <c r="A54" s="2" t="s">
        <v>43</v>
      </c>
      <c r="B54" s="2" t="n">
        <v>1991</v>
      </c>
      <c r="C54" s="2" t="s">
        <v>13</v>
      </c>
      <c r="D54" s="3" t="n">
        <v>3987516</v>
      </c>
      <c r="E54" s="3" t="n">
        <v>8265100</v>
      </c>
      <c r="F54" s="2" t="s">
        <v>14</v>
      </c>
      <c r="G54" s="3" t="n">
        <v>2073</v>
      </c>
      <c r="H54" s="2" t="s">
        <v>15</v>
      </c>
      <c r="I54" s="2" t="n">
        <v>1000</v>
      </c>
      <c r="J54" s="4" t="n">
        <f aca="false">IFERROR(E54*I54/D54,"")</f>
        <v>2072.74403413052</v>
      </c>
      <c r="K54" s="5" t="n">
        <f aca="false">IFERROR((J54-G54)/G54,"")</f>
        <v>-0.000123476058600379</v>
      </c>
      <c r="L54" s="2" t="str">
        <f aca="false">IF(K54="","",IF(ABS(K54)&gt;0.05,"CHECK","OK"))</f>
        <v>OK</v>
      </c>
    </row>
    <row r="55" customFormat="false" ht="15" hidden="false" customHeight="false" outlineLevel="0" collapsed="false">
      <c r="A55" s="2" t="s">
        <v>43</v>
      </c>
      <c r="B55" s="2" t="n">
        <v>1991</v>
      </c>
      <c r="C55" s="2" t="s">
        <v>16</v>
      </c>
      <c r="D55" s="3" t="n">
        <v>2117875</v>
      </c>
      <c r="E55" s="3" t="n">
        <v>6596260</v>
      </c>
      <c r="F55" s="2" t="s">
        <v>17</v>
      </c>
      <c r="G55" s="3" t="n">
        <v>3115</v>
      </c>
      <c r="H55" s="2" t="s">
        <v>15</v>
      </c>
      <c r="I55" s="2" t="n">
        <v>1000</v>
      </c>
      <c r="J55" s="4" t="n">
        <f aca="false">IFERROR(E55*I55/D55,"")</f>
        <v>3114.56530720652</v>
      </c>
      <c r="K55" s="5" t="n">
        <f aca="false">IFERROR((J55-G55)/G55,"")</f>
        <v>-0.000139548248309444</v>
      </c>
      <c r="L55" s="2" t="str">
        <f aca="false">IF(K55="","",IF(ABS(K55)&gt;0.05,"CHECK","OK"))</f>
        <v>OK</v>
      </c>
    </row>
    <row r="56" customFormat="false" ht="15" hidden="false" customHeight="false" outlineLevel="0" collapsed="false">
      <c r="A56" s="2" t="s">
        <v>44</v>
      </c>
      <c r="B56" s="2" t="n">
        <v>1992</v>
      </c>
      <c r="C56" s="2" t="s">
        <v>13</v>
      </c>
      <c r="D56" s="3" t="n">
        <v>3945006</v>
      </c>
      <c r="E56" s="3" t="n">
        <v>8358030</v>
      </c>
      <c r="F56" s="2" t="s">
        <v>14</v>
      </c>
      <c r="G56" s="3" t="n">
        <v>2119</v>
      </c>
      <c r="H56" s="2" t="s">
        <v>15</v>
      </c>
      <c r="I56" s="2" t="n">
        <v>1000</v>
      </c>
      <c r="J56" s="4" t="n">
        <f aca="false">IFERROR(E56*I56/D56,"")</f>
        <v>2118.63556101055</v>
      </c>
      <c r="K56" s="5" t="n">
        <f aca="false">IFERROR((J56-G56)/G56,"")</f>
        <v>-0.000171986309318842</v>
      </c>
      <c r="L56" s="2" t="str">
        <f aca="false">IF(K56="","",IF(ABS(K56)&gt;0.05,"CHECK","OK"))</f>
        <v>OK</v>
      </c>
    </row>
    <row r="57" customFormat="false" ht="15" hidden="false" customHeight="false" outlineLevel="0" collapsed="false">
      <c r="A57" s="2" t="s">
        <v>44</v>
      </c>
      <c r="B57" s="2" t="n">
        <v>1992</v>
      </c>
      <c r="C57" s="2" t="s">
        <v>16</v>
      </c>
      <c r="D57" s="3" t="n">
        <v>2184400</v>
      </c>
      <c r="E57" s="3" t="n">
        <v>6805720</v>
      </c>
      <c r="F57" s="2" t="s">
        <v>17</v>
      </c>
      <c r="G57" s="3" t="n">
        <v>3116</v>
      </c>
      <c r="H57" s="2" t="s">
        <v>15</v>
      </c>
      <c r="I57" s="2" t="n">
        <v>1000</v>
      </c>
      <c r="J57" s="4" t="n">
        <f aca="false">IFERROR(E57*I57/D57,"")</f>
        <v>3115.60153817982</v>
      </c>
      <c r="K57" s="5" t="n">
        <f aca="false">IFERROR((J57-G57)/G57,"")</f>
        <v>-0.000127876065526112</v>
      </c>
      <c r="L57" s="2" t="str">
        <f aca="false">IF(K57="","",IF(ABS(K57)&gt;0.05,"CHECK","OK"))</f>
        <v>OK</v>
      </c>
    </row>
    <row r="58" customFormat="false" ht="15" hidden="false" customHeight="false" outlineLevel="0" collapsed="false">
      <c r="A58" s="2" t="s">
        <v>45</v>
      </c>
      <c r="B58" s="2" t="n">
        <v>1993</v>
      </c>
      <c r="C58" s="2" t="s">
        <v>13</v>
      </c>
      <c r="D58" s="3" t="n">
        <v>4026782</v>
      </c>
      <c r="E58" s="3" t="n">
        <v>8257420</v>
      </c>
      <c r="F58" s="2" t="s">
        <v>14</v>
      </c>
      <c r="G58" s="3" t="n">
        <v>2051</v>
      </c>
      <c r="H58" s="2" t="s">
        <v>15</v>
      </c>
      <c r="I58" s="2" t="n">
        <v>1000</v>
      </c>
      <c r="J58" s="4" t="n">
        <f aca="false">IFERROR(E58*I58/D58,"")</f>
        <v>2050.62504004438</v>
      </c>
      <c r="K58" s="5" t="n">
        <f aca="false">IFERROR((J58-G58)/G58,"")</f>
        <v>-0.000182818115854322</v>
      </c>
      <c r="L58" s="2" t="str">
        <f aca="false">IF(K58="","",IF(ABS(K58)&gt;0.05,"CHECK","OK"))</f>
        <v>OK</v>
      </c>
    </row>
    <row r="59" customFormat="false" ht="15" hidden="false" customHeight="false" outlineLevel="0" collapsed="false">
      <c r="A59" s="2" t="s">
        <v>45</v>
      </c>
      <c r="B59" s="2" t="n">
        <v>1993</v>
      </c>
      <c r="C59" s="2" t="s">
        <v>16</v>
      </c>
      <c r="D59" s="3" t="n">
        <v>2306260</v>
      </c>
      <c r="E59" s="3" t="n">
        <v>6749810</v>
      </c>
      <c r="F59" s="2" t="s">
        <v>17</v>
      </c>
      <c r="G59" s="3" t="n">
        <v>2927</v>
      </c>
      <c r="H59" s="2" t="s">
        <v>15</v>
      </c>
      <c r="I59" s="2" t="n">
        <v>1000</v>
      </c>
      <c r="J59" s="4" t="n">
        <f aca="false">IFERROR(E59*I59/D59,"")</f>
        <v>2926.73419302247</v>
      </c>
      <c r="K59" s="5" t="n">
        <f aca="false">IFERROR((J59-G59)/G59,"")</f>
        <v>-9.08120866179369E-005</v>
      </c>
      <c r="L59" s="2" t="str">
        <f aca="false">IF(K59="","",IF(ABS(K59)&gt;0.05,"CHECK","OK"))</f>
        <v>OK</v>
      </c>
    </row>
    <row r="60" customFormat="false" ht="15" hidden="false" customHeight="false" outlineLevel="0" collapsed="false">
      <c r="A60" s="2" t="s">
        <v>46</v>
      </c>
      <c r="B60" s="2" t="n">
        <v>1994</v>
      </c>
      <c r="C60" s="2" t="s">
        <v>13</v>
      </c>
      <c r="D60" s="3" t="n">
        <v>3849676</v>
      </c>
      <c r="E60" s="3" t="n">
        <v>9080620</v>
      </c>
      <c r="F60" s="2" t="s">
        <v>14</v>
      </c>
      <c r="G60" s="3" t="n">
        <v>2359</v>
      </c>
      <c r="H60" s="2" t="s">
        <v>15</v>
      </c>
      <c r="I60" s="2" t="n">
        <v>1000</v>
      </c>
      <c r="J60" s="4" t="n">
        <f aca="false">IFERROR(E60*I60/D60,"")</f>
        <v>2358.80110430073</v>
      </c>
      <c r="K60" s="5" t="n">
        <f aca="false">IFERROR((J60-G60)/G60,"")</f>
        <v>-8.43135647624181E-005</v>
      </c>
      <c r="L60" s="2" t="str">
        <f aca="false">IF(K60="","",IF(ABS(K60)&gt;0.05,"CHECK","OK"))</f>
        <v>OK</v>
      </c>
    </row>
    <row r="61" customFormat="false" ht="15" hidden="false" customHeight="false" outlineLevel="0" collapsed="false">
      <c r="A61" s="2" t="s">
        <v>46</v>
      </c>
      <c r="B61" s="2" t="n">
        <v>1994</v>
      </c>
      <c r="C61" s="2" t="s">
        <v>16</v>
      </c>
      <c r="D61" s="3" t="n">
        <v>2228524</v>
      </c>
      <c r="E61" s="3" t="n">
        <v>7558710</v>
      </c>
      <c r="F61" s="2" t="s">
        <v>17</v>
      </c>
      <c r="G61" s="3" t="n">
        <v>3392</v>
      </c>
      <c r="H61" s="2" t="s">
        <v>15</v>
      </c>
      <c r="I61" s="2" t="n">
        <v>1000</v>
      </c>
      <c r="J61" s="4" t="n">
        <f aca="false">IFERROR(E61*I61/D61,"")</f>
        <v>3391.80103063732</v>
      </c>
      <c r="K61" s="5" t="n">
        <f aca="false">IFERROR((J61-G61)/G61,"")</f>
        <v>-5.86584206018602E-005</v>
      </c>
      <c r="L61" s="2" t="str">
        <f aca="false">IF(K61="","",IF(ABS(K61)&gt;0.05,"CHECK","OK"))</f>
        <v>OK</v>
      </c>
    </row>
    <row r="62" customFormat="false" ht="15" hidden="false" customHeight="false" outlineLevel="0" collapsed="false">
      <c r="A62" s="2" t="s">
        <v>47</v>
      </c>
      <c r="B62" s="2" t="n">
        <v>1995</v>
      </c>
      <c r="C62" s="2" t="s">
        <v>13</v>
      </c>
      <c r="D62" s="3" t="n">
        <v>3339027</v>
      </c>
      <c r="E62" s="3" t="n">
        <v>6405290</v>
      </c>
      <c r="F62" s="2" t="s">
        <v>14</v>
      </c>
      <c r="G62" s="3" t="n">
        <v>1918</v>
      </c>
      <c r="H62" s="2" t="s">
        <v>15</v>
      </c>
      <c r="I62" s="2" t="n">
        <v>1000</v>
      </c>
      <c r="J62" s="4" t="n">
        <f aca="false">IFERROR(E62*I62/D62,"")</f>
        <v>1918.31033411829</v>
      </c>
      <c r="K62" s="5" t="n">
        <f aca="false">IFERROR((J62-G62)/G62,"")</f>
        <v>0.000161800895877232</v>
      </c>
      <c r="L62" s="2" t="str">
        <f aca="false">IF(K62="","",IF(ABS(K62)&gt;0.05,"CHECK","OK"))</f>
        <v>OK</v>
      </c>
    </row>
    <row r="63" customFormat="false" ht="15" hidden="false" customHeight="false" outlineLevel="0" collapsed="false">
      <c r="A63" s="2" t="s">
        <v>47</v>
      </c>
      <c r="B63" s="2" t="n">
        <v>1995</v>
      </c>
      <c r="C63" s="2" t="s">
        <v>16</v>
      </c>
      <c r="D63" s="3" t="n">
        <v>1950593</v>
      </c>
      <c r="E63" s="3" t="n">
        <v>5290030</v>
      </c>
      <c r="F63" s="2" t="s">
        <v>17</v>
      </c>
      <c r="G63" s="3" t="n">
        <v>2712</v>
      </c>
      <c r="H63" s="2" t="s">
        <v>15</v>
      </c>
      <c r="I63" s="2" t="n">
        <v>1000</v>
      </c>
      <c r="J63" s="4" t="n">
        <f aca="false">IFERROR(E63*I63/D63,"")</f>
        <v>2712.01116788587</v>
      </c>
      <c r="K63" s="5" t="n">
        <f aca="false">IFERROR((J63-G63)/G63,"")</f>
        <v>4.11795201637803E-006</v>
      </c>
      <c r="L63" s="2" t="str">
        <f aca="false">IF(K63="","",IF(ABS(K63)&gt;0.05,"CHECK","OK"))</f>
        <v>OK</v>
      </c>
    </row>
    <row r="64" customFormat="false" ht="15" hidden="false" customHeight="false" outlineLevel="0" collapsed="false">
      <c r="A64" s="2" t="s">
        <v>48</v>
      </c>
      <c r="B64" s="2" t="n">
        <v>1996</v>
      </c>
      <c r="C64" s="2" t="s">
        <v>13</v>
      </c>
      <c r="D64" s="3" t="n">
        <v>3558236</v>
      </c>
      <c r="E64" s="3" t="n">
        <v>6930070</v>
      </c>
      <c r="F64" s="2" t="s">
        <v>14</v>
      </c>
      <c r="G64" s="3" t="n">
        <v>1948</v>
      </c>
      <c r="H64" s="2" t="s">
        <v>15</v>
      </c>
      <c r="I64" s="2" t="n">
        <v>1000</v>
      </c>
      <c r="J64" s="4" t="n">
        <f aca="false">IFERROR(E64*I64/D64,"")</f>
        <v>1947.61393004848</v>
      </c>
      <c r="K64" s="5" t="n">
        <f aca="false">IFERROR((J64-G64)/G64,"")</f>
        <v>-0.000198187860120796</v>
      </c>
      <c r="L64" s="2" t="str">
        <f aca="false">IF(K64="","",IF(ABS(K64)&gt;0.05,"CHECK","OK"))</f>
        <v>OK</v>
      </c>
    </row>
    <row r="65" customFormat="false" ht="15" hidden="false" customHeight="false" outlineLevel="0" collapsed="false">
      <c r="A65" s="2" t="s">
        <v>48</v>
      </c>
      <c r="B65" s="2" t="n">
        <v>1996</v>
      </c>
      <c r="C65" s="2" t="s">
        <v>16</v>
      </c>
      <c r="D65" s="3" t="n">
        <v>2173696</v>
      </c>
      <c r="E65" s="3" t="n">
        <v>5805300</v>
      </c>
      <c r="F65" s="2" t="s">
        <v>17</v>
      </c>
      <c r="G65" s="3" t="n">
        <v>2671</v>
      </c>
      <c r="H65" s="2" t="s">
        <v>15</v>
      </c>
      <c r="I65" s="2" t="n">
        <v>1000</v>
      </c>
      <c r="J65" s="4" t="n">
        <f aca="false">IFERROR(E65*I65/D65,"")</f>
        <v>2670.70464315157</v>
      </c>
      <c r="K65" s="5" t="n">
        <f aca="false">IFERROR((J65-G65)/G65,"")</f>
        <v>-0.000110579127078874</v>
      </c>
      <c r="L65" s="2" t="str">
        <f aca="false">IF(K65="","",IF(ABS(K65)&gt;0.05,"CHECK","OK"))</f>
        <v>OK</v>
      </c>
    </row>
    <row r="66" customFormat="false" ht="15" hidden="false" customHeight="false" outlineLevel="0" collapsed="false">
      <c r="A66" s="2" t="s">
        <v>49</v>
      </c>
      <c r="B66" s="2" t="n">
        <v>1997</v>
      </c>
      <c r="C66" s="2" t="s">
        <v>13</v>
      </c>
      <c r="D66" s="3" t="n">
        <v>3642130</v>
      </c>
      <c r="E66" s="3" t="n">
        <v>8103700</v>
      </c>
      <c r="F66" s="2" t="s">
        <v>14</v>
      </c>
      <c r="G66" s="3" t="n">
        <v>2225</v>
      </c>
      <c r="H66" s="2" t="s">
        <v>15</v>
      </c>
      <c r="I66" s="2" t="n">
        <v>1000</v>
      </c>
      <c r="J66" s="4" t="n">
        <f aca="false">IFERROR(E66*I66/D66,"")</f>
        <v>2224.98922333909</v>
      </c>
      <c r="K66" s="5" t="n">
        <f aca="false">IFERROR((J66-G66)/G66,"")</f>
        <v>-4.84344310555908E-006</v>
      </c>
      <c r="L66" s="2" t="str">
        <f aca="false">IF(K66="","",IF(ABS(K66)&gt;0.05,"CHECK","OK"))</f>
        <v>OK</v>
      </c>
    </row>
    <row r="67" customFormat="false" ht="15" hidden="false" customHeight="false" outlineLevel="0" collapsed="false">
      <c r="A67" s="2" t="s">
        <v>49</v>
      </c>
      <c r="B67" s="2" t="n">
        <v>1997</v>
      </c>
      <c r="C67" s="2" t="s">
        <v>16</v>
      </c>
      <c r="D67" s="3" t="n">
        <v>2260544</v>
      </c>
      <c r="E67" s="3" t="n">
        <v>6893730</v>
      </c>
      <c r="F67" s="2" t="s">
        <v>17</v>
      </c>
      <c r="G67" s="3" t="n">
        <v>3050</v>
      </c>
      <c r="H67" s="2" t="s">
        <v>15</v>
      </c>
      <c r="I67" s="2" t="n">
        <v>1000</v>
      </c>
      <c r="J67" s="4" t="n">
        <f aca="false">IFERROR(E67*I67/D67,"")</f>
        <v>3049.58894850089</v>
      </c>
      <c r="K67" s="5" t="n">
        <f aca="false">IFERROR((J67-G67)/G67,"")</f>
        <v>-0.000134770983314098</v>
      </c>
      <c r="L67" s="2" t="str">
        <f aca="false">IF(K67="","",IF(ABS(K67)&gt;0.05,"CHECK","OK"))</f>
        <v>OK</v>
      </c>
    </row>
    <row r="68" customFormat="false" ht="15" hidden="false" customHeight="false" outlineLevel="0" collapsed="false">
      <c r="A68" s="2" t="s">
        <v>50</v>
      </c>
      <c r="B68" s="2" t="n">
        <v>1998</v>
      </c>
      <c r="C68" s="2" t="s">
        <v>13</v>
      </c>
      <c r="D68" s="3" t="n">
        <v>3676126</v>
      </c>
      <c r="E68" s="3" t="n">
        <v>9412460</v>
      </c>
      <c r="F68" s="2" t="s">
        <v>14</v>
      </c>
      <c r="G68" s="3" t="n">
        <v>2560</v>
      </c>
      <c r="H68" s="2" t="s">
        <v>15</v>
      </c>
      <c r="I68" s="2" t="n">
        <v>1000</v>
      </c>
      <c r="J68" s="4" t="n">
        <f aca="false">IFERROR(E68*I68/D68,"")</f>
        <v>2560.42910389905</v>
      </c>
      <c r="K68" s="5" t="n">
        <f aca="false">IFERROR((J68-G68)/G68,"")</f>
        <v>0.000167618710566586</v>
      </c>
      <c r="L68" s="2" t="str">
        <f aca="false">IF(K68="","",IF(ABS(K68)&gt;0.05,"CHECK","OK"))</f>
        <v>OK</v>
      </c>
    </row>
    <row r="69" customFormat="false" ht="15" hidden="false" customHeight="false" outlineLevel="0" collapsed="false">
      <c r="A69" s="2" t="s">
        <v>50</v>
      </c>
      <c r="B69" s="2" t="n">
        <v>1998</v>
      </c>
      <c r="C69" s="2" t="s">
        <v>16</v>
      </c>
      <c r="D69" s="3" t="n">
        <v>2274961</v>
      </c>
      <c r="E69" s="3" t="n">
        <v>8141300</v>
      </c>
      <c r="F69" s="2" t="s">
        <v>17</v>
      </c>
      <c r="G69" s="3" t="n">
        <v>3579</v>
      </c>
      <c r="H69" s="2" t="s">
        <v>15</v>
      </c>
      <c r="I69" s="2" t="n">
        <v>1000</v>
      </c>
      <c r="J69" s="4" t="n">
        <f aca="false">IFERROR(E69*I69/D69,"")</f>
        <v>3578.65475496063</v>
      </c>
      <c r="K69" s="5" t="n">
        <f aca="false">IFERROR((J69-G69)/G69,"")</f>
        <v>-9.64641071152937E-005</v>
      </c>
      <c r="L69" s="2" t="str">
        <f aca="false">IF(K69="","",IF(ABS(K69)&gt;0.05,"CHECK","OK"))</f>
        <v>OK</v>
      </c>
    </row>
    <row r="70" customFormat="false" ht="15" hidden="false" customHeight="false" outlineLevel="0" collapsed="false">
      <c r="A70" s="2" t="s">
        <v>51</v>
      </c>
      <c r="B70" s="2" t="n">
        <v>1999</v>
      </c>
      <c r="C70" s="2" t="s">
        <v>13</v>
      </c>
      <c r="D70" s="3" t="n">
        <v>3632761</v>
      </c>
      <c r="E70" s="3" t="n">
        <v>8842400</v>
      </c>
      <c r="F70" s="2" t="s">
        <v>14</v>
      </c>
      <c r="G70" s="3" t="n">
        <v>2434</v>
      </c>
      <c r="H70" s="2" t="s">
        <v>15</v>
      </c>
      <c r="I70" s="2" t="n">
        <v>1000</v>
      </c>
      <c r="J70" s="4" t="n">
        <f aca="false">IFERROR(E70*I70/D70,"")</f>
        <v>2434.07149548236</v>
      </c>
      <c r="K70" s="5" t="n">
        <f aca="false">IFERROR((J70-G70)/G70,"")</f>
        <v>2.93736575026992E-005</v>
      </c>
      <c r="L70" s="2" t="str">
        <f aca="false">IF(K70="","",IF(ABS(K70)&gt;0.05,"CHECK","OK"))</f>
        <v>OK</v>
      </c>
    </row>
    <row r="71" customFormat="false" ht="15" hidden="false" customHeight="false" outlineLevel="0" collapsed="false">
      <c r="A71" s="2" t="s">
        <v>51</v>
      </c>
      <c r="B71" s="2" t="n">
        <v>1999</v>
      </c>
      <c r="C71" s="2" t="s">
        <v>16</v>
      </c>
      <c r="D71" s="3" t="n">
        <v>2163558</v>
      </c>
      <c r="E71" s="3" t="n">
        <v>7532100</v>
      </c>
      <c r="F71" s="2" t="s">
        <v>17</v>
      </c>
      <c r="G71" s="3" t="n">
        <v>3481</v>
      </c>
      <c r="H71" s="2" t="s">
        <v>15</v>
      </c>
      <c r="I71" s="2" t="n">
        <v>1000</v>
      </c>
      <c r="J71" s="4" t="n">
        <f aca="false">IFERROR(E71*I71/D71,"")</f>
        <v>3481.34877826247</v>
      </c>
      <c r="K71" s="5" t="n">
        <f aca="false">IFERROR((J71-G71)/G71,"")</f>
        <v>0.000100194847019072</v>
      </c>
      <c r="L71" s="2" t="str">
        <f aca="false">IF(K71="","",IF(ABS(K71)&gt;0.05,"CHECK","OK"))</f>
        <v>OK</v>
      </c>
    </row>
    <row r="72" customFormat="false" ht="15" hidden="false" customHeight="false" outlineLevel="0" collapsed="false">
      <c r="A72" s="2" t="s">
        <v>52</v>
      </c>
      <c r="B72" s="2" t="n">
        <v>2000</v>
      </c>
      <c r="C72" s="2" t="s">
        <v>13</v>
      </c>
      <c r="D72" s="3" t="n">
        <v>3500788</v>
      </c>
      <c r="E72" s="3" t="n">
        <v>8616783</v>
      </c>
      <c r="F72" s="2" t="s">
        <v>14</v>
      </c>
      <c r="G72" s="3" t="n">
        <v>2461</v>
      </c>
      <c r="H72" s="2" t="s">
        <v>15</v>
      </c>
      <c r="I72" s="2" t="n">
        <v>1000</v>
      </c>
      <c r="J72" s="4" t="n">
        <f aca="false">IFERROR(E72*I72/D72,"")</f>
        <v>2461.38383701041</v>
      </c>
      <c r="K72" s="5" t="n">
        <f aca="false">IFERROR((J72-G72)/G72,"")</f>
        <v>0.000155967903458102</v>
      </c>
      <c r="L72" s="2" t="str">
        <f aca="false">IF(K72="","",IF(ABS(K72)&gt;0.05,"CHECK","OK"))</f>
        <v>OK</v>
      </c>
    </row>
    <row r="73" customFormat="false" ht="15" hidden="false" customHeight="false" outlineLevel="0" collapsed="false">
      <c r="A73" s="2" t="s">
        <v>52</v>
      </c>
      <c r="B73" s="2" t="n">
        <v>2000</v>
      </c>
      <c r="C73" s="2" t="s">
        <v>16</v>
      </c>
      <c r="D73" s="3" t="n">
        <v>2080010</v>
      </c>
      <c r="E73" s="3" t="n">
        <v>7366320</v>
      </c>
      <c r="F73" s="2" t="s">
        <v>17</v>
      </c>
      <c r="G73" s="3" t="n">
        <v>3541</v>
      </c>
      <c r="H73" s="2" t="s">
        <v>15</v>
      </c>
      <c r="I73" s="2" t="n">
        <v>1000</v>
      </c>
      <c r="J73" s="4" t="n">
        <f aca="false">IFERROR(E73*I73/D73,"")</f>
        <v>3541.48297363955</v>
      </c>
      <c r="K73" s="5" t="n">
        <f aca="false">IFERROR((J73-G73)/G73,"")</f>
        <v>0.000136394701934477</v>
      </c>
      <c r="L73" s="2" t="str">
        <f aca="false">IF(K73="","",IF(ABS(K73)&gt;0.05,"CHECK","OK"))</f>
        <v>OK</v>
      </c>
    </row>
    <row r="74" customFormat="false" ht="15" hidden="false" customHeight="false" outlineLevel="0" collapsed="false">
      <c r="A74" s="2" t="s">
        <v>53</v>
      </c>
      <c r="B74" s="2" t="n">
        <v>2001</v>
      </c>
      <c r="C74" s="2" t="s">
        <v>13</v>
      </c>
      <c r="D74" s="3" t="n">
        <v>3451572</v>
      </c>
      <c r="E74" s="3" t="n">
        <v>7688861</v>
      </c>
      <c r="F74" s="2" t="s">
        <v>14</v>
      </c>
      <c r="G74" s="3" t="n">
        <v>2228</v>
      </c>
      <c r="H74" s="2" t="s">
        <v>15</v>
      </c>
      <c r="I74" s="2" t="n">
        <v>1000</v>
      </c>
      <c r="J74" s="4" t="n">
        <f aca="false">IFERROR(E74*I74/D74,"")</f>
        <v>2227.64033315834</v>
      </c>
      <c r="K74" s="5" t="n">
        <f aca="false">IFERROR((J74-G74)/G74,"")</f>
        <v>-0.000161430359811229</v>
      </c>
      <c r="L74" s="2" t="str">
        <f aca="false">IF(K74="","",IF(ABS(K74)&gt;0.05,"CHECK","OK"))</f>
        <v>OK</v>
      </c>
    </row>
    <row r="75" customFormat="false" ht="15" hidden="false" customHeight="false" outlineLevel="0" collapsed="false">
      <c r="A75" s="2" t="s">
        <v>53</v>
      </c>
      <c r="B75" s="2" t="n">
        <v>2001</v>
      </c>
      <c r="C75" s="2" t="s">
        <v>16</v>
      </c>
      <c r="D75" s="3" t="n">
        <v>2059878</v>
      </c>
      <c r="E75" s="3" t="n">
        <v>6583630</v>
      </c>
      <c r="F75" s="2" t="s">
        <v>17</v>
      </c>
      <c r="G75" s="3" t="n">
        <v>3196</v>
      </c>
      <c r="H75" s="2" t="s">
        <v>15</v>
      </c>
      <c r="I75" s="2" t="n">
        <v>1000</v>
      </c>
      <c r="J75" s="4" t="n">
        <f aca="false">IFERROR(E75*I75/D75,"")</f>
        <v>3196.12617834648</v>
      </c>
      <c r="K75" s="5" t="n">
        <f aca="false">IFERROR((J75-G75)/G75,"")</f>
        <v>3.94800833807013E-005</v>
      </c>
      <c r="L75" s="2" t="str">
        <f aca="false">IF(K75="","",IF(ABS(K75)&gt;0.05,"CHECK","OK"))</f>
        <v>OK</v>
      </c>
    </row>
    <row r="76" customFormat="false" ht="15" hidden="false" customHeight="false" outlineLevel="0" collapsed="false">
      <c r="A76" s="2" t="s">
        <v>54</v>
      </c>
      <c r="B76" s="2" t="n">
        <v>2002</v>
      </c>
      <c r="C76" s="2" t="s">
        <v>13</v>
      </c>
      <c r="D76" s="3" t="n">
        <v>2791975</v>
      </c>
      <c r="E76" s="3" t="n">
        <v>4460357</v>
      </c>
      <c r="F76" s="2" t="s">
        <v>14</v>
      </c>
      <c r="G76" s="3" t="n">
        <v>1598</v>
      </c>
      <c r="H76" s="2" t="s">
        <v>15</v>
      </c>
      <c r="I76" s="2" t="n">
        <v>1000</v>
      </c>
      <c r="J76" s="4" t="n">
        <f aca="false">IFERROR(E76*I76/D76,"")</f>
        <v>1597.56337359754</v>
      </c>
      <c r="K76" s="5" t="n">
        <f aca="false">IFERROR((J76-G76)/G76,"")</f>
        <v>-0.000273233042839188</v>
      </c>
      <c r="L76" s="2" t="str">
        <f aca="false">IF(K76="","",IF(ABS(K76)&gt;0.05,"CHECK","OK"))</f>
        <v>OK</v>
      </c>
    </row>
    <row r="77" customFormat="false" ht="15" hidden="false" customHeight="false" outlineLevel="0" collapsed="false">
      <c r="A77" s="2" t="s">
        <v>54</v>
      </c>
      <c r="B77" s="2" t="n">
        <v>2002</v>
      </c>
      <c r="C77" s="2" t="s">
        <v>16</v>
      </c>
      <c r="D77" s="3" t="n">
        <v>1516537</v>
      </c>
      <c r="E77" s="3" t="n">
        <v>3577108</v>
      </c>
      <c r="F77" s="2" t="s">
        <v>17</v>
      </c>
      <c r="G77" s="3" t="n">
        <v>2359</v>
      </c>
      <c r="H77" s="2" t="s">
        <v>15</v>
      </c>
      <c r="I77" s="2" t="n">
        <v>1000</v>
      </c>
      <c r="J77" s="4" t="n">
        <f aca="false">IFERROR(E77*I77/D77,"")</f>
        <v>2358.73440608439</v>
      </c>
      <c r="K77" s="5" t="n">
        <f aca="false">IFERROR((J77-G77)/G77,"")</f>
        <v>-0.000112587501319029</v>
      </c>
      <c r="L77" s="2" t="str">
        <f aca="false">IF(K77="","",IF(ABS(K77)&gt;0.05,"CHECK","OK"))</f>
        <v>OK</v>
      </c>
    </row>
    <row r="78" customFormat="false" ht="15" hidden="false" customHeight="false" outlineLevel="0" collapsed="false">
      <c r="A78" s="2" t="s">
        <v>55</v>
      </c>
      <c r="B78" s="2" t="n">
        <v>2003</v>
      </c>
      <c r="C78" s="2" t="s">
        <v>13</v>
      </c>
      <c r="D78" s="3" t="n">
        <v>2837246</v>
      </c>
      <c r="E78" s="3" t="n">
        <v>4312023</v>
      </c>
      <c r="F78" s="2" t="s">
        <v>14</v>
      </c>
      <c r="G78" s="3" t="n">
        <v>1520</v>
      </c>
      <c r="H78" s="2" t="s">
        <v>15</v>
      </c>
      <c r="I78" s="2" t="n">
        <v>1000</v>
      </c>
      <c r="J78" s="4" t="n">
        <f aca="false">IFERROR(E78*I78/D78,"")</f>
        <v>1519.79172761192</v>
      </c>
      <c r="K78" s="5" t="n">
        <f aca="false">IFERROR((J78-G78)/G78,"")</f>
        <v>-0.000137021307949531</v>
      </c>
      <c r="L78" s="2" t="str">
        <f aca="false">IF(K78="","",IF(ABS(K78)&gt;0.05,"CHECK","OK"))</f>
        <v>OK</v>
      </c>
    </row>
    <row r="79" customFormat="false" ht="15" hidden="false" customHeight="false" outlineLevel="0" collapsed="false">
      <c r="A79" s="2" t="s">
        <v>55</v>
      </c>
      <c r="B79" s="2" t="n">
        <v>2003</v>
      </c>
      <c r="C79" s="2" t="s">
        <v>16</v>
      </c>
      <c r="D79" s="3" t="n">
        <v>1396651</v>
      </c>
      <c r="E79" s="3" t="n">
        <v>3222776</v>
      </c>
      <c r="F79" s="2" t="s">
        <v>17</v>
      </c>
      <c r="G79" s="3" t="n">
        <v>2308</v>
      </c>
      <c r="H79" s="2" t="s">
        <v>15</v>
      </c>
      <c r="I79" s="2" t="n">
        <v>1000</v>
      </c>
      <c r="J79" s="4" t="n">
        <f aca="false">IFERROR(E79*I79/D79,"")</f>
        <v>2307.50273332422</v>
      </c>
      <c r="K79" s="5" t="n">
        <f aca="false">IFERROR((J79-G79)/G79,"")</f>
        <v>-0.000215453499039654</v>
      </c>
      <c r="L79" s="2" t="str">
        <f aca="false">IF(K79="","",IF(ABS(K79)&gt;0.05,"CHECK","OK"))</f>
        <v>OK</v>
      </c>
    </row>
    <row r="80" customFormat="false" ht="15" hidden="false" customHeight="false" outlineLevel="0" collapsed="false">
      <c r="A80" s="2" t="s">
        <v>56</v>
      </c>
      <c r="B80" s="2" t="n">
        <v>2004</v>
      </c>
      <c r="C80" s="2" t="s">
        <v>13</v>
      </c>
      <c r="D80" s="3" t="n">
        <v>3286805</v>
      </c>
      <c r="E80" s="3" t="n">
        <v>6146044</v>
      </c>
      <c r="F80" s="2" t="s">
        <v>14</v>
      </c>
      <c r="G80" s="3" t="n">
        <v>1870</v>
      </c>
      <c r="H80" s="2" t="s">
        <v>15</v>
      </c>
      <c r="I80" s="2" t="n">
        <v>1000</v>
      </c>
      <c r="J80" s="4" t="n">
        <f aca="false">IFERROR(E80*I80/D80,"")</f>
        <v>1869.91440015456</v>
      </c>
      <c r="K80" s="5" t="n">
        <f aca="false">IFERROR((J80-G80)/G80,"")</f>
        <v>-4.57753184185187E-005</v>
      </c>
      <c r="L80" s="2" t="str">
        <f aca="false">IF(K80="","",IF(ABS(K80)&gt;0.05,"CHECK","OK"))</f>
        <v>OK</v>
      </c>
    </row>
    <row r="81" customFormat="false" ht="15" hidden="false" customHeight="false" outlineLevel="0" collapsed="false">
      <c r="A81" s="2" t="s">
        <v>56</v>
      </c>
      <c r="B81" s="2" t="n">
        <v>2004</v>
      </c>
      <c r="C81" s="2" t="s">
        <v>16</v>
      </c>
      <c r="D81" s="3" t="n">
        <v>1872822</v>
      </c>
      <c r="E81" s="3" t="n">
        <v>5061622</v>
      </c>
      <c r="F81" s="2" t="s">
        <v>17</v>
      </c>
      <c r="G81" s="3" t="n">
        <v>2703</v>
      </c>
      <c r="H81" s="2" t="s">
        <v>15</v>
      </c>
      <c r="I81" s="2" t="n">
        <v>1000</v>
      </c>
      <c r="J81" s="4" t="n">
        <f aca="false">IFERROR(E81*I81/D81,"")</f>
        <v>2702.67115614832</v>
      </c>
      <c r="K81" s="5" t="n">
        <f aca="false">IFERROR((J81-G81)/G81,"")</f>
        <v>-0.000121658842650656</v>
      </c>
      <c r="L81" s="2" t="str">
        <f aca="false">IF(K81="","",IF(ABS(K81)&gt;0.05,"CHECK","OK"))</f>
        <v>OK</v>
      </c>
    </row>
    <row r="82" customFormat="false" ht="15" hidden="false" customHeight="false" outlineLevel="0" collapsed="false">
      <c r="A82" s="2" t="s">
        <v>57</v>
      </c>
      <c r="B82" s="2" t="n">
        <v>2005</v>
      </c>
      <c r="C82" s="2" t="s">
        <v>13</v>
      </c>
      <c r="D82" s="3" t="n">
        <v>3316637</v>
      </c>
      <c r="E82" s="3" t="n">
        <v>6116145</v>
      </c>
      <c r="F82" s="2" t="s">
        <v>14</v>
      </c>
      <c r="G82" s="3" t="n">
        <v>1844</v>
      </c>
      <c r="H82" s="2" t="s">
        <v>15</v>
      </c>
      <c r="I82" s="2" t="n">
        <v>1000</v>
      </c>
      <c r="J82" s="4" t="n">
        <f aca="false">IFERROR(E82*I82/D82,"")</f>
        <v>1844.08031388421</v>
      </c>
      <c r="K82" s="5" t="n">
        <f aca="false">IFERROR((J82-G82)/G82,"")</f>
        <v>4.35541671445484E-005</v>
      </c>
      <c r="L82" s="2" t="str">
        <f aca="false">IF(K82="","",IF(ABS(K82)&gt;0.05,"CHECK","OK"))</f>
        <v>OK</v>
      </c>
    </row>
    <row r="83" customFormat="false" ht="15" hidden="false" customHeight="false" outlineLevel="0" collapsed="false">
      <c r="A83" s="2" t="s">
        <v>57</v>
      </c>
      <c r="B83" s="2" t="n">
        <v>2005</v>
      </c>
      <c r="C83" s="2" t="s">
        <v>16</v>
      </c>
      <c r="D83" s="3" t="n">
        <v>2050455</v>
      </c>
      <c r="E83" s="3" t="n">
        <v>5209433</v>
      </c>
      <c r="F83" s="2" t="s">
        <v>17</v>
      </c>
      <c r="G83" s="3" t="n">
        <v>2541</v>
      </c>
      <c r="H83" s="2" t="s">
        <v>15</v>
      </c>
      <c r="I83" s="2" t="n">
        <v>1000</v>
      </c>
      <c r="J83" s="4" t="n">
        <f aca="false">IFERROR(E83*I83/D83,"")</f>
        <v>2540.62293490957</v>
      </c>
      <c r="K83" s="5" t="n">
        <f aca="false">IFERROR((J83-G83)/G83,"")</f>
        <v>-0.000148392400799366</v>
      </c>
      <c r="L83" s="2" t="str">
        <f aca="false">IF(K83="","",IF(ABS(K83)&gt;0.05,"CHECK","OK"))</f>
        <v>OK</v>
      </c>
    </row>
    <row r="84" customFormat="false" ht="15" hidden="false" customHeight="false" outlineLevel="0" collapsed="false">
      <c r="A84" s="2" t="s">
        <v>58</v>
      </c>
      <c r="B84" s="2" t="n">
        <v>2006</v>
      </c>
      <c r="C84" s="2" t="s">
        <v>13</v>
      </c>
      <c r="D84" s="3" t="n">
        <v>3166140</v>
      </c>
      <c r="E84" s="3" t="n">
        <v>8262753</v>
      </c>
      <c r="F84" s="2" t="s">
        <v>14</v>
      </c>
      <c r="G84" s="3" t="n">
        <v>2610</v>
      </c>
      <c r="H84" s="2" t="s">
        <v>15</v>
      </c>
      <c r="I84" s="2" t="n">
        <v>1000</v>
      </c>
      <c r="J84" s="4" t="n">
        <f aca="false">IFERROR(E84*I84/D84,"")</f>
        <v>2609.72445943641</v>
      </c>
      <c r="K84" s="5" t="n">
        <f aca="false">IFERROR((J84-G84)/G84,"")</f>
        <v>-0.000105571097160342</v>
      </c>
      <c r="L84" s="2" t="str">
        <f aca="false">IF(K84="","",IF(ABS(K84)&gt;0.05,"CHECK","OK"))</f>
        <v>OK</v>
      </c>
    </row>
    <row r="85" customFormat="false" ht="15" hidden="false" customHeight="false" outlineLevel="0" collapsed="false">
      <c r="A85" s="2" t="s">
        <v>58</v>
      </c>
      <c r="B85" s="2" t="n">
        <v>2006</v>
      </c>
      <c r="C85" s="2" t="s">
        <v>16</v>
      </c>
      <c r="D85" s="3" t="n">
        <v>1931397</v>
      </c>
      <c r="E85" s="3" t="n">
        <v>6610607</v>
      </c>
      <c r="F85" s="2" t="s">
        <v>17</v>
      </c>
      <c r="G85" s="3" t="n">
        <v>3423</v>
      </c>
      <c r="H85" s="2" t="s">
        <v>15</v>
      </c>
      <c r="I85" s="2" t="n">
        <v>1000</v>
      </c>
      <c r="J85" s="4" t="n">
        <f aca="false">IFERROR(E85*I85/D85,"")</f>
        <v>3422.70750135783</v>
      </c>
      <c r="K85" s="5" t="n">
        <f aca="false">IFERROR((J85-G85)/G85,"")</f>
        <v>-8.54509617804413E-005</v>
      </c>
      <c r="L85" s="2" t="str">
        <f aca="false">IF(K85="","",IF(ABS(K85)&gt;0.05,"CHECK","OK"))</f>
        <v>OK</v>
      </c>
    </row>
    <row r="86" customFormat="false" ht="15" hidden="false" customHeight="false" outlineLevel="0" collapsed="false">
      <c r="A86" s="2" t="s">
        <v>59</v>
      </c>
      <c r="B86" s="2" t="n">
        <v>2007</v>
      </c>
      <c r="C86" s="2" t="s">
        <v>13</v>
      </c>
      <c r="D86" s="3" t="n">
        <v>3097539</v>
      </c>
      <c r="E86" s="3" t="n">
        <v>6581639</v>
      </c>
      <c r="F86" s="2" t="s">
        <v>14</v>
      </c>
      <c r="G86" s="3" t="n">
        <v>2125</v>
      </c>
      <c r="H86" s="2" t="s">
        <v>15</v>
      </c>
      <c r="I86" s="2" t="n">
        <v>1000</v>
      </c>
      <c r="J86" s="4" t="n">
        <f aca="false">IFERROR(E86*I86/D86,"")</f>
        <v>2124.79616882951</v>
      </c>
      <c r="K86" s="5" t="n">
        <f aca="false">IFERROR((J86-G86)/G86,"")</f>
        <v>-9.59205508175621E-005</v>
      </c>
      <c r="L86" s="2" t="str">
        <f aca="false">IF(K86="","",IF(ABS(K86)&gt;0.05,"CHECK","OK"))</f>
        <v>OK</v>
      </c>
    </row>
    <row r="87" customFormat="false" ht="15" hidden="false" customHeight="false" outlineLevel="0" collapsed="false">
      <c r="A87" s="2" t="s">
        <v>59</v>
      </c>
      <c r="B87" s="2" t="n">
        <v>2007</v>
      </c>
      <c r="C87" s="2" t="s">
        <v>16</v>
      </c>
      <c r="D87" s="3" t="n">
        <v>1789170</v>
      </c>
      <c r="E87" s="3" t="n">
        <v>5039954</v>
      </c>
      <c r="F87" s="2" t="s">
        <v>17</v>
      </c>
      <c r="G87" s="3" t="n">
        <v>2817</v>
      </c>
      <c r="H87" s="2" t="s">
        <v>15</v>
      </c>
      <c r="I87" s="2" t="n">
        <v>1000</v>
      </c>
      <c r="J87" s="4" t="n">
        <f aca="false">IFERROR(E87*I87/D87,"")</f>
        <v>2816.92293074442</v>
      </c>
      <c r="K87" s="5" t="n">
        <f aca="false">IFERROR((J87-G87)/G87,"")</f>
        <v>-2.73586281777029E-005</v>
      </c>
      <c r="L87" s="2" t="str">
        <f aca="false">IF(K87="","",IF(ABS(K87)&gt;0.05,"CHECK","OK"))</f>
        <v>OK</v>
      </c>
    </row>
    <row r="88" customFormat="false" ht="15" hidden="false" customHeight="false" outlineLevel="0" collapsed="false">
      <c r="A88" s="2" t="s">
        <v>60</v>
      </c>
      <c r="B88" s="2" t="n">
        <v>2008</v>
      </c>
      <c r="C88" s="2" t="s">
        <v>13</v>
      </c>
      <c r="D88" s="3" t="n">
        <v>3191384</v>
      </c>
      <c r="E88" s="3" t="n">
        <v>7101735</v>
      </c>
      <c r="F88" s="2" t="s">
        <v>14</v>
      </c>
      <c r="G88" s="3" t="n">
        <v>2225</v>
      </c>
      <c r="H88" s="2" t="s">
        <v>15</v>
      </c>
      <c r="I88" s="2" t="n">
        <v>1000</v>
      </c>
      <c r="J88" s="4" t="n">
        <f aca="false">IFERROR(E88*I88/D88,"")</f>
        <v>2225.28376403466</v>
      </c>
      <c r="K88" s="5" t="n">
        <f aca="false">IFERROR((J88-G88)/G88,"")</f>
        <v>0.000127534397601512</v>
      </c>
      <c r="L88" s="2" t="str">
        <f aca="false">IF(K88="","",IF(ABS(K88)&gt;0.05,"CHECK","OK"))</f>
        <v>OK</v>
      </c>
    </row>
    <row r="89" customFormat="false" ht="15" hidden="false" customHeight="false" outlineLevel="0" collapsed="false">
      <c r="A89" s="2" t="s">
        <v>60</v>
      </c>
      <c r="B89" s="2" t="n">
        <v>2008</v>
      </c>
      <c r="C89" s="2" t="s">
        <v>16</v>
      </c>
      <c r="D89" s="3" t="n">
        <v>1931603</v>
      </c>
      <c r="E89" s="3" t="n">
        <v>5183385</v>
      </c>
      <c r="F89" s="2" t="s">
        <v>17</v>
      </c>
      <c r="G89" s="3" t="n">
        <v>2683</v>
      </c>
      <c r="H89" s="2" t="s">
        <v>15</v>
      </c>
      <c r="I89" s="2" t="n">
        <v>1000</v>
      </c>
      <c r="J89" s="4" t="n">
        <f aca="false">IFERROR(E89*I89/D89,"")</f>
        <v>2683.4629061976</v>
      </c>
      <c r="K89" s="5" t="n">
        <f aca="false">IFERROR((J89-G89)/G89,"")</f>
        <v>0.000172533059112332</v>
      </c>
      <c r="L89" s="2" t="str">
        <f aca="false">IF(K89="","",IF(ABS(K89)&gt;0.05,"CHECK","OK"))</f>
        <v>OK</v>
      </c>
    </row>
    <row r="90" customFormat="false" ht="15" hidden="false" customHeight="false" outlineLevel="0" collapsed="false">
      <c r="A90" s="2" t="s">
        <v>61</v>
      </c>
      <c r="B90" s="2" t="n">
        <v>2009</v>
      </c>
      <c r="C90" s="2" t="s">
        <v>13</v>
      </c>
      <c r="D90" s="3" t="n">
        <v>3034124</v>
      </c>
      <c r="E90" s="3" t="n">
        <v>7504548</v>
      </c>
      <c r="F90" s="2" t="s">
        <v>14</v>
      </c>
      <c r="G90" s="3" t="n">
        <v>2473</v>
      </c>
      <c r="H90" s="2" t="s">
        <v>15</v>
      </c>
      <c r="I90" s="2" t="n">
        <v>1000</v>
      </c>
      <c r="J90" s="4" t="n">
        <f aca="false">IFERROR(E90*I90/D90,"")</f>
        <v>2473.38210303864</v>
      </c>
      <c r="K90" s="5" t="n">
        <f aca="false">IFERROR((J90-G90)/G90,"")</f>
        <v>0.00015450992261893</v>
      </c>
      <c r="L90" s="2" t="str">
        <f aca="false">IF(K90="","",IF(ABS(K90)&gt;0.05,"CHECK","OK"))</f>
        <v>OK</v>
      </c>
    </row>
    <row r="91" customFormat="false" ht="15" hidden="false" customHeight="false" outlineLevel="0" collapsed="false">
      <c r="A91" s="2" t="s">
        <v>61</v>
      </c>
      <c r="B91" s="2" t="n">
        <v>2009</v>
      </c>
      <c r="C91" s="2" t="s">
        <v>16</v>
      </c>
      <c r="D91" s="3" t="n">
        <v>1845553</v>
      </c>
      <c r="E91" s="3" t="n">
        <v>5665258</v>
      </c>
      <c r="F91" s="2" t="s">
        <v>17</v>
      </c>
      <c r="G91" s="3" t="n">
        <v>3070</v>
      </c>
      <c r="H91" s="2" t="s">
        <v>15</v>
      </c>
      <c r="I91" s="2" t="n">
        <v>1000</v>
      </c>
      <c r="J91" s="4" t="n">
        <f aca="false">IFERROR(E91*I91/D91,"")</f>
        <v>3069.68046975622</v>
      </c>
      <c r="K91" s="5" t="n">
        <f aca="false">IFERROR((J91-G91)/G91,"")</f>
        <v>-0.000104081512632156</v>
      </c>
      <c r="L91" s="2" t="str">
        <f aca="false">IF(K91="","",IF(ABS(K91)&gt;0.05,"CHECK","OK"))</f>
        <v>OK</v>
      </c>
    </row>
    <row r="92" customFormat="false" ht="15" hidden="false" customHeight="false" outlineLevel="0" collapsed="false">
      <c r="A92" s="2" t="s">
        <v>62</v>
      </c>
      <c r="B92" s="2" t="n">
        <v>2010</v>
      </c>
      <c r="C92" s="2" t="s">
        <v>13</v>
      </c>
      <c r="D92" s="3" t="n">
        <v>3173775</v>
      </c>
      <c r="E92" s="3" t="n">
        <v>7594120</v>
      </c>
      <c r="F92" s="2" t="s">
        <v>14</v>
      </c>
      <c r="G92" s="3" t="n">
        <v>2393</v>
      </c>
      <c r="H92" s="2" t="s">
        <v>15</v>
      </c>
      <c r="I92" s="2" t="n">
        <v>1000</v>
      </c>
      <c r="J92" s="4" t="n">
        <f aca="false">IFERROR(E92*I92/D92,"")</f>
        <v>2392.77201439926</v>
      </c>
      <c r="K92" s="5" t="n">
        <f aca="false">IFERROR((J92-G92)/G92,"")</f>
        <v>-9.52718766165996E-005</v>
      </c>
      <c r="L92" s="2" t="str">
        <f aca="false">IF(K92="","",IF(ABS(K92)&gt;0.05,"CHECK","OK"))</f>
        <v>OK</v>
      </c>
    </row>
    <row r="93" customFormat="false" ht="15" hidden="false" customHeight="false" outlineLevel="0" collapsed="false">
      <c r="A93" s="2" t="s">
        <v>62</v>
      </c>
      <c r="B93" s="2" t="n">
        <v>2010</v>
      </c>
      <c r="C93" s="2" t="s">
        <v>16</v>
      </c>
      <c r="D93" s="3" t="n">
        <v>1905726</v>
      </c>
      <c r="E93" s="3" t="n">
        <v>5792415</v>
      </c>
      <c r="F93" s="2" t="s">
        <v>17</v>
      </c>
      <c r="G93" s="3" t="n">
        <v>3039</v>
      </c>
      <c r="H93" s="2" t="s">
        <v>15</v>
      </c>
      <c r="I93" s="2" t="n">
        <v>1000</v>
      </c>
      <c r="J93" s="4" t="n">
        <f aca="false">IFERROR(E93*I93/D93,"")</f>
        <v>3039.47944248019</v>
      </c>
      <c r="K93" s="5" t="n">
        <f aca="false">IFERROR((J93-G93)/G93,"")</f>
        <v>0.000157763237969227</v>
      </c>
      <c r="L93" s="2" t="str">
        <f aca="false">IF(K93="","",IF(ABS(K93)&gt;0.05,"CHECK","OK"))</f>
        <v>OK</v>
      </c>
    </row>
    <row r="94" customFormat="false" ht="15" hidden="false" customHeight="false" outlineLevel="0" collapsed="false">
      <c r="A94" s="2" t="s">
        <v>63</v>
      </c>
      <c r="B94" s="2" t="n">
        <v>2011</v>
      </c>
      <c r="C94" s="2" t="s">
        <v>13</v>
      </c>
      <c r="D94" s="3" t="n">
        <v>3208669</v>
      </c>
      <c r="E94" s="3" t="n">
        <v>10151780</v>
      </c>
      <c r="F94" s="2" t="s">
        <v>14</v>
      </c>
      <c r="G94" s="3" t="n">
        <v>3164</v>
      </c>
      <c r="H94" s="2" t="s">
        <v>15</v>
      </c>
      <c r="I94" s="2" t="n">
        <v>1000</v>
      </c>
      <c r="J94" s="4" t="n">
        <f aca="false">IFERROR(E94*I94/D94,"")</f>
        <v>3163.86015509858</v>
      </c>
      <c r="K94" s="5" t="n">
        <f aca="false">IFERROR((J94-G94)/G94,"")</f>
        <v>-4.41987678324395E-005</v>
      </c>
      <c r="L94" s="2" t="str">
        <f aca="false">IF(K94="","",IF(ABS(K94)&gt;0.05,"CHECK","OK"))</f>
        <v>OK</v>
      </c>
    </row>
    <row r="95" customFormat="false" ht="15" hidden="false" customHeight="false" outlineLevel="0" collapsed="false">
      <c r="A95" s="2" t="s">
        <v>63</v>
      </c>
      <c r="B95" s="2" t="n">
        <v>2011</v>
      </c>
      <c r="C95" s="2" t="s">
        <v>16</v>
      </c>
      <c r="D95" s="3" t="n">
        <v>1903772</v>
      </c>
      <c r="E95" s="3" t="n">
        <v>7458657</v>
      </c>
      <c r="F95" s="2" t="s">
        <v>17</v>
      </c>
      <c r="G95" s="3" t="n">
        <v>3918</v>
      </c>
      <c r="H95" s="2" t="s">
        <v>15</v>
      </c>
      <c r="I95" s="2" t="n">
        <v>1000</v>
      </c>
      <c r="J95" s="4" t="n">
        <f aca="false">IFERROR(E95*I95/D95,"")</f>
        <v>3917.83102178202</v>
      </c>
      <c r="K95" s="5" t="n">
        <f aca="false">IFERROR((J95-G95)/G95,"")</f>
        <v>-4.31286926952811E-005</v>
      </c>
      <c r="L95" s="2" t="str">
        <f aca="false">IF(K95="","",IF(ABS(K95)&gt;0.05,"CHECK","OK"))</f>
        <v>OK</v>
      </c>
    </row>
    <row r="96" customFormat="false" ht="15" hidden="false" customHeight="false" outlineLevel="0" collapsed="false">
      <c r="A96" s="2" t="s">
        <v>64</v>
      </c>
      <c r="B96" s="2" t="n">
        <v>2012</v>
      </c>
      <c r="C96" s="2" t="s">
        <v>13</v>
      </c>
      <c r="D96" s="3" t="n">
        <v>2647586</v>
      </c>
      <c r="E96" s="3" t="n">
        <v>5605436</v>
      </c>
      <c r="F96" s="2" t="s">
        <v>14</v>
      </c>
      <c r="G96" s="3" t="n">
        <v>2117</v>
      </c>
      <c r="H96" s="2" t="s">
        <v>15</v>
      </c>
      <c r="I96" s="2" t="n">
        <v>1000</v>
      </c>
      <c r="J96" s="4" t="n">
        <f aca="false">IFERROR(E96*I96/D96,"")</f>
        <v>2117.1875059016</v>
      </c>
      <c r="K96" s="5" t="n">
        <f aca="false">IFERROR((J96-G96)/G96,"")</f>
        <v>8.8571517053583E-005</v>
      </c>
      <c r="L96" s="2" t="str">
        <f aca="false">IF(K96="","",IF(ABS(K96)&gt;0.05,"CHECK","OK"))</f>
        <v>OK</v>
      </c>
    </row>
    <row r="97" customFormat="false" ht="15" hidden="false" customHeight="false" outlineLevel="0" collapsed="false">
      <c r="A97" s="2" t="s">
        <v>64</v>
      </c>
      <c r="B97" s="2" t="n">
        <v>2012</v>
      </c>
      <c r="C97" s="2" t="s">
        <v>16</v>
      </c>
      <c r="D97" s="3" t="n">
        <v>1493276</v>
      </c>
      <c r="E97" s="3" t="n">
        <v>4050334</v>
      </c>
      <c r="F97" s="2" t="s">
        <v>17</v>
      </c>
      <c r="G97" s="3" t="n">
        <v>2712</v>
      </c>
      <c r="H97" s="2" t="s">
        <v>15</v>
      </c>
      <c r="I97" s="2" t="n">
        <v>1000</v>
      </c>
      <c r="J97" s="4" t="n">
        <f aca="false">IFERROR(E97*I97/D97,"")</f>
        <v>2712.38136821324</v>
      </c>
      <c r="K97" s="5" t="n">
        <f aca="false">IFERROR((J97-G97)/G97,"")</f>
        <v>0.000140622497508871</v>
      </c>
      <c r="L97" s="2" t="str">
        <f aca="false">IF(K97="","",IF(ABS(K97)&gt;0.05,"CHECK","OK"))</f>
        <v>OK</v>
      </c>
    </row>
    <row r="98" customFormat="false" ht="15" hidden="false" customHeight="false" outlineLevel="0" collapsed="false">
      <c r="A98" s="2" t="s">
        <v>65</v>
      </c>
      <c r="B98" s="2" t="n">
        <v>2013</v>
      </c>
      <c r="C98" s="2" t="s">
        <v>13</v>
      </c>
      <c r="D98" s="3" t="n">
        <v>3474573</v>
      </c>
      <c r="E98" s="3" t="n">
        <v>11002473</v>
      </c>
      <c r="F98" s="2" t="s">
        <v>14</v>
      </c>
      <c r="G98" s="3" t="n">
        <v>3167</v>
      </c>
      <c r="H98" s="2" t="s">
        <v>15</v>
      </c>
      <c r="I98" s="2" t="n">
        <v>1000</v>
      </c>
      <c r="J98" s="4" t="n">
        <f aca="false">IFERROR(E98*I98/D98,"")</f>
        <v>3166.56838120828</v>
      </c>
      <c r="K98" s="5" t="n">
        <f aca="false">IFERROR((J98-G98)/G98,"")</f>
        <v>-0.000136286325140291</v>
      </c>
      <c r="L98" s="2" t="str">
        <f aca="false">IF(K98="","",IF(ABS(K98)&gt;0.05,"CHECK","OK"))</f>
        <v>OK</v>
      </c>
    </row>
    <row r="99" customFormat="false" ht="15" hidden="false" customHeight="false" outlineLevel="0" collapsed="false">
      <c r="A99" s="2" t="s">
        <v>65</v>
      </c>
      <c r="B99" s="2" t="n">
        <v>2013</v>
      </c>
      <c r="C99" s="2" t="s">
        <v>16</v>
      </c>
      <c r="D99" s="3" t="n">
        <v>1725730</v>
      </c>
      <c r="E99" s="3" t="n">
        <v>7115195</v>
      </c>
      <c r="F99" s="2" t="s">
        <v>17</v>
      </c>
      <c r="G99" s="3" t="n">
        <v>4123</v>
      </c>
      <c r="H99" s="2" t="s">
        <v>15</v>
      </c>
      <c r="I99" s="2" t="n">
        <v>1000</v>
      </c>
      <c r="J99" s="4" t="n">
        <f aca="false">IFERROR(E99*I99/D99,"")</f>
        <v>4123.00591633685</v>
      </c>
      <c r="K99" s="5" t="n">
        <f aca="false">IFERROR((J99-G99)/G99,"")</f>
        <v>1.43495921760135E-006</v>
      </c>
      <c r="L99" s="2" t="str">
        <f aca="false">IF(K99="","",IF(ABS(K99)&gt;0.05,"CHECK","OK"))</f>
        <v>OK</v>
      </c>
    </row>
    <row r="100" customFormat="false" ht="15" hidden="false" customHeight="false" outlineLevel="0" collapsed="false">
      <c r="A100" s="2" t="s">
        <v>66</v>
      </c>
      <c r="B100" s="2" t="n">
        <v>2014</v>
      </c>
      <c r="C100" s="2" t="s">
        <v>13</v>
      </c>
      <c r="D100" s="3" t="n">
        <v>3605698</v>
      </c>
      <c r="E100" s="3" t="n">
        <v>12795213</v>
      </c>
      <c r="F100" s="2" t="s">
        <v>14</v>
      </c>
      <c r="G100" s="3" t="n">
        <v>3549</v>
      </c>
      <c r="H100" s="2" t="s">
        <v>15</v>
      </c>
      <c r="I100" s="2" t="n">
        <v>1000</v>
      </c>
      <c r="J100" s="4" t="n">
        <f aca="false">IFERROR(E100*I100/D100,"")</f>
        <v>3548.60917359135</v>
      </c>
      <c r="K100" s="5" t="n">
        <f aca="false">IFERROR((J100-G100)/G100,"")</f>
        <v>-0.000110122966651269</v>
      </c>
      <c r="L100" s="2" t="str">
        <f aca="false">IF(K100="","",IF(ABS(K100)&gt;0.05,"CHECK","OK"))</f>
        <v>OK</v>
      </c>
    </row>
    <row r="101" customFormat="false" ht="15" hidden="false" customHeight="false" outlineLevel="0" collapsed="false">
      <c r="A101" s="2" t="s">
        <v>66</v>
      </c>
      <c r="B101" s="2" t="n">
        <v>2014</v>
      </c>
      <c r="C101" s="2" t="s">
        <v>16</v>
      </c>
      <c r="D101" s="3" t="n">
        <v>1794991</v>
      </c>
      <c r="E101" s="3" t="n">
        <v>7949437</v>
      </c>
      <c r="F101" s="2" t="s">
        <v>17</v>
      </c>
      <c r="G101" s="3" t="n">
        <v>4429</v>
      </c>
      <c r="H101" s="2" t="s">
        <v>15</v>
      </c>
      <c r="I101" s="2" t="n">
        <v>1000</v>
      </c>
      <c r="J101" s="4" t="n">
        <f aca="false">IFERROR(E101*I101/D101,"")</f>
        <v>4428.67791537674</v>
      </c>
      <c r="K101" s="5" t="n">
        <f aca="false">IFERROR((J101-G101)/G101,"")</f>
        <v>-7.27217483100598E-005</v>
      </c>
      <c r="L101" s="2" t="str">
        <f aca="false">IF(K101="","",IF(ABS(K101)&gt;0.05,"CHECK","OK"))</f>
        <v>OK</v>
      </c>
    </row>
    <row r="102" customFormat="false" ht="15" hidden="false" customHeight="false" outlineLevel="0" collapsed="false">
      <c r="A102" s="2" t="s">
        <v>67</v>
      </c>
      <c r="B102" s="2" t="n">
        <v>2015</v>
      </c>
      <c r="C102" s="2" t="s">
        <v>13</v>
      </c>
      <c r="D102" s="3" t="n">
        <v>3754980</v>
      </c>
      <c r="E102" s="3" t="n">
        <v>11385015</v>
      </c>
      <c r="F102" s="2" t="s">
        <v>14</v>
      </c>
      <c r="G102" s="3" t="n">
        <v>3032</v>
      </c>
      <c r="H102" s="2" t="s">
        <v>15</v>
      </c>
      <c r="I102" s="2" t="n">
        <v>1000</v>
      </c>
      <c r="J102" s="4" t="n">
        <f aca="false">IFERROR(E102*I102/D102,"")</f>
        <v>3031.97753383507</v>
      </c>
      <c r="K102" s="5" t="n">
        <f aca="false">IFERROR((J102-G102)/G102,"")</f>
        <v>-7.40968500432752E-006</v>
      </c>
      <c r="L102" s="2" t="str">
        <f aca="false">IF(K102="","",IF(ABS(K102)&gt;0.05,"CHECK","OK"))</f>
        <v>OK</v>
      </c>
    </row>
    <row r="103" customFormat="false" ht="15" hidden="false" customHeight="false" outlineLevel="0" collapsed="false">
      <c r="A103" s="2" t="s">
        <v>67</v>
      </c>
      <c r="B103" s="2" t="n">
        <v>2015</v>
      </c>
      <c r="C103" s="2" t="s">
        <v>16</v>
      </c>
      <c r="D103" s="3" t="n">
        <v>2000212</v>
      </c>
      <c r="E103" s="3" t="n">
        <v>7374681</v>
      </c>
      <c r="F103" s="2" t="s">
        <v>17</v>
      </c>
      <c r="G103" s="3" t="n">
        <v>3687</v>
      </c>
      <c r="H103" s="2" t="s">
        <v>15</v>
      </c>
      <c r="I103" s="2" t="n">
        <v>1000</v>
      </c>
      <c r="J103" s="4" t="n">
        <f aca="false">IFERROR(E103*I103/D103,"")</f>
        <v>3686.94968333357</v>
      </c>
      <c r="K103" s="5" t="n">
        <f aca="false">IFERROR((J103-G103)/G103,"")</f>
        <v>-1.36470481240699E-005</v>
      </c>
      <c r="L103" s="2" t="str">
        <f aca="false">IF(K103="","",IF(ABS(K103)&gt;0.05,"CHECK","OK"))</f>
        <v>OK</v>
      </c>
    </row>
    <row r="104" customFormat="false" ht="15" hidden="false" customHeight="false" outlineLevel="0" collapsed="false">
      <c r="A104" s="2" t="s">
        <v>68</v>
      </c>
      <c r="B104" s="2" t="n">
        <v>2016</v>
      </c>
      <c r="C104" s="2" t="s">
        <v>13</v>
      </c>
      <c r="D104" s="3" t="n">
        <v>2945951</v>
      </c>
      <c r="E104" s="3" t="n">
        <v>5236956</v>
      </c>
      <c r="F104" s="2" t="s">
        <v>14</v>
      </c>
      <c r="G104" s="3" t="n">
        <v>1778</v>
      </c>
      <c r="H104" s="2" t="s">
        <v>15</v>
      </c>
      <c r="I104" s="2" t="n">
        <v>1000</v>
      </c>
      <c r="J104" s="4" t="n">
        <f aca="false">IFERROR(E104*I104/D104,"")</f>
        <v>1777.67926214659</v>
      </c>
      <c r="K104" s="5" t="n">
        <f aca="false">IFERROR((J104-G104)/G104,"")</f>
        <v>-0.000180392493483123</v>
      </c>
      <c r="L104" s="2" t="str">
        <f aca="false">IF(K104="","",IF(ABS(K104)&gt;0.05,"CHECK","OK"))</f>
        <v>OK</v>
      </c>
    </row>
    <row r="105" customFormat="false" ht="15" hidden="false" customHeight="false" outlineLevel="0" collapsed="false">
      <c r="A105" s="2" t="s">
        <v>68</v>
      </c>
      <c r="B105" s="2" t="n">
        <v>2016</v>
      </c>
      <c r="C105" s="2" t="s">
        <v>16</v>
      </c>
      <c r="D105" s="3" t="n">
        <v>1442841</v>
      </c>
      <c r="E105" s="3" t="n">
        <v>3554113</v>
      </c>
      <c r="F105" s="2" t="s">
        <v>17</v>
      </c>
      <c r="G105" s="3" t="n">
        <v>2463</v>
      </c>
      <c r="H105" s="2" t="s">
        <v>15</v>
      </c>
      <c r="I105" s="2" t="n">
        <v>1000</v>
      </c>
      <c r="J105" s="4" t="n">
        <f aca="false">IFERROR(E105*I105/D105,"")</f>
        <v>2463.27419306771</v>
      </c>
      <c r="K105" s="5" t="n">
        <f aca="false">IFERROR((J105-G105)/G105,"")</f>
        <v>0.000111324834634511</v>
      </c>
      <c r="L105" s="2" t="str">
        <f aca="false">IF(K105="","",IF(ABS(K105)&gt;0.05,"CHECK","OK"))</f>
        <v>OK</v>
      </c>
    </row>
    <row r="106" customFormat="false" ht="15" hidden="false" customHeight="false" outlineLevel="0" collapsed="false">
      <c r="A106" s="2" t="s">
        <v>69</v>
      </c>
      <c r="B106" s="2" t="n">
        <v>2017</v>
      </c>
      <c r="C106" s="2" t="s">
        <v>13</v>
      </c>
      <c r="D106" s="3" t="n">
        <v>3538599</v>
      </c>
      <c r="E106" s="3" t="n">
        <v>10713299</v>
      </c>
      <c r="F106" s="2" t="s">
        <v>14</v>
      </c>
      <c r="G106" s="3" t="n">
        <v>3028</v>
      </c>
      <c r="H106" s="2" t="s">
        <v>15</v>
      </c>
      <c r="I106" s="2" t="n">
        <v>1000</v>
      </c>
      <c r="J106" s="4" t="n">
        <f aca="false">IFERROR(E106*I106/D106,"")</f>
        <v>3027.55384263659</v>
      </c>
      <c r="K106" s="5" t="n">
        <f aca="false">IFERROR((J106-G106)/G106,"")</f>
        <v>-0.000147343911297383</v>
      </c>
      <c r="L106" s="2" t="str">
        <f aca="false">IF(K106="","",IF(ABS(K106)&gt;0.05,"CHECK","OK"))</f>
        <v>OK</v>
      </c>
    </row>
    <row r="107" customFormat="false" ht="15" hidden="false" customHeight="false" outlineLevel="0" collapsed="false">
      <c r="A107" s="2" t="s">
        <v>69</v>
      </c>
      <c r="B107" s="2" t="n">
        <v>2017</v>
      </c>
      <c r="C107" s="2" t="s">
        <v>16</v>
      </c>
      <c r="D107" s="3" t="n">
        <v>1828919</v>
      </c>
      <c r="E107" s="3" t="n">
        <v>6638450</v>
      </c>
      <c r="F107" s="2" t="s">
        <v>17</v>
      </c>
      <c r="G107" s="3" t="n">
        <v>3630</v>
      </c>
      <c r="H107" s="2" t="s">
        <v>15</v>
      </c>
      <c r="I107" s="2" t="n">
        <v>1000</v>
      </c>
      <c r="J107" s="4" t="n">
        <f aca="false">IFERROR(E107*I107/D107,"")</f>
        <v>3629.7124148199</v>
      </c>
      <c r="K107" s="5" t="n">
        <f aca="false">IFERROR((J107-G107)/G107,"")</f>
        <v>-7.92245675201588E-005</v>
      </c>
      <c r="L107" s="2" t="str">
        <f aca="false">IF(K107="","",IF(ABS(K107)&gt;0.05,"CHECK","OK"))</f>
        <v>OK</v>
      </c>
    </row>
    <row r="108" customFormat="false" ht="15" hidden="false" customHeight="false" outlineLevel="0" collapsed="false">
      <c r="A108" s="2" t="s">
        <v>70</v>
      </c>
      <c r="B108" s="2" t="n">
        <v>2018</v>
      </c>
      <c r="C108" s="2" t="s">
        <v>13</v>
      </c>
      <c r="D108" s="3" t="n">
        <v>3495997</v>
      </c>
      <c r="E108" s="3" t="n">
        <v>10390494</v>
      </c>
      <c r="F108" s="2" t="s">
        <v>14</v>
      </c>
      <c r="G108" s="3" t="n">
        <v>2972</v>
      </c>
      <c r="H108" s="2" t="s">
        <v>15</v>
      </c>
      <c r="I108" s="2" t="n">
        <v>1000</v>
      </c>
      <c r="J108" s="4" t="n">
        <f aca="false">IFERROR(E108*I108/D108,"")</f>
        <v>2972.11181817376</v>
      </c>
      <c r="K108" s="5" t="n">
        <f aca="false">IFERROR((J108-G108)/G108,"")</f>
        <v>3.7623880806528E-005</v>
      </c>
      <c r="L108" s="2" t="str">
        <f aca="false">IF(K108="","",IF(ABS(K108)&gt;0.05,"CHECK","OK"))</f>
        <v>OK</v>
      </c>
    </row>
    <row r="109" customFormat="false" ht="15" hidden="false" customHeight="false" outlineLevel="0" collapsed="false">
      <c r="A109" s="2" t="s">
        <v>70</v>
      </c>
      <c r="B109" s="2" t="n">
        <v>2018</v>
      </c>
      <c r="C109" s="2" t="s">
        <v>16</v>
      </c>
      <c r="D109" s="3" t="n">
        <v>1721265</v>
      </c>
      <c r="E109" s="3" t="n">
        <v>6131550</v>
      </c>
      <c r="F109" s="2" t="s">
        <v>17</v>
      </c>
      <c r="G109" s="3" t="n">
        <v>3562</v>
      </c>
      <c r="H109" s="2" t="s">
        <v>15</v>
      </c>
      <c r="I109" s="2" t="n">
        <v>1000</v>
      </c>
      <c r="J109" s="4" t="n">
        <f aca="false">IFERROR(E109*I109/D109,"")</f>
        <v>3562.23475176687</v>
      </c>
      <c r="K109" s="5" t="n">
        <f aca="false">IFERROR((J109-G109)/G109,"")</f>
        <v>6.590448255729E-005</v>
      </c>
      <c r="L109" s="2" t="str">
        <f aca="false">IF(K109="","",IF(ABS(K109)&gt;0.05,"CHECK","OK"))</f>
        <v>OK</v>
      </c>
    </row>
    <row r="110" customFormat="false" ht="15" hidden="false" customHeight="false" outlineLevel="0" collapsed="false">
      <c r="A110" s="2" t="s">
        <v>71</v>
      </c>
      <c r="B110" s="2" t="n">
        <v>2019</v>
      </c>
      <c r="C110" s="2" t="s">
        <v>13</v>
      </c>
      <c r="D110" s="3" t="n">
        <v>3692425</v>
      </c>
      <c r="E110" s="3" t="n">
        <v>11502074</v>
      </c>
      <c r="F110" s="2" t="s">
        <v>14</v>
      </c>
      <c r="G110" s="3" t="n">
        <v>3115</v>
      </c>
      <c r="H110" s="2" t="s">
        <v>15</v>
      </c>
      <c r="I110" s="2" t="n">
        <v>1000</v>
      </c>
      <c r="J110" s="4" t="n">
        <f aca="false">IFERROR(E110*I110/D110,"")</f>
        <v>3115.04607405702</v>
      </c>
      <c r="K110" s="5" t="n">
        <f aca="false">IFERROR((J110-G110)/G110,"")</f>
        <v>1.4791029541572E-005</v>
      </c>
      <c r="L110" s="2" t="str">
        <f aca="false">IF(K110="","",IF(ABS(K110)&gt;0.05,"CHECK","OK"))</f>
        <v>OK</v>
      </c>
    </row>
    <row r="111" customFormat="false" ht="15" hidden="false" customHeight="false" outlineLevel="0" collapsed="false">
      <c r="A111" s="2" t="s">
        <v>71</v>
      </c>
      <c r="B111" s="2" t="n">
        <v>2019</v>
      </c>
      <c r="C111" s="2" t="s">
        <v>16</v>
      </c>
      <c r="D111" s="3" t="n">
        <v>1907407</v>
      </c>
      <c r="E111" s="3" t="n">
        <v>7265161</v>
      </c>
      <c r="F111" s="2" t="s">
        <v>17</v>
      </c>
      <c r="G111" s="3" t="n">
        <v>3809</v>
      </c>
      <c r="H111" s="2" t="s">
        <v>15</v>
      </c>
      <c r="I111" s="2" t="n">
        <v>1000</v>
      </c>
      <c r="J111" s="4" t="n">
        <f aca="false">IFERROR(E111*I111/D111,"")</f>
        <v>3808.92017277907</v>
      </c>
      <c r="K111" s="5" t="n">
        <f aca="false">IFERROR((J111-G111)/G111,"")</f>
        <v>-2.09575271551644E-005</v>
      </c>
      <c r="L111" s="2" t="str">
        <f aca="false">IF(K111="","",IF(ABS(K111)&gt;0.05,"CHECK","OK"))</f>
        <v>OK</v>
      </c>
    </row>
    <row r="112" customFormat="false" ht="15" hidden="false" customHeight="false" outlineLevel="0" collapsed="false">
      <c r="A112" s="2" t="s">
        <v>72</v>
      </c>
      <c r="B112" s="2" t="n">
        <v>2020</v>
      </c>
      <c r="C112" s="2" t="s">
        <v>13</v>
      </c>
      <c r="D112" s="3" t="n">
        <v>3819609</v>
      </c>
      <c r="E112" s="3" t="n">
        <v>10824367</v>
      </c>
      <c r="F112" s="2" t="s">
        <v>14</v>
      </c>
      <c r="G112" s="3" t="n">
        <v>2834</v>
      </c>
      <c r="H112" s="2" t="s">
        <v>15</v>
      </c>
      <c r="I112" s="2" t="n">
        <v>1000</v>
      </c>
      <c r="J112" s="4" t="n">
        <f aca="false">IFERROR(E112*I112/D112,"")</f>
        <v>2833.89399281445</v>
      </c>
      <c r="K112" s="5" t="n">
        <f aca="false">IFERROR((J112-G112)/G112,"")</f>
        <v>-3.74054994891474E-005</v>
      </c>
      <c r="L112" s="2" t="str">
        <f aca="false">IF(K112="","",IF(ABS(K112)&gt;0.05,"CHECK","OK"))</f>
        <v>OK</v>
      </c>
    </row>
    <row r="113" customFormat="false" ht="15" hidden="false" customHeight="false" outlineLevel="0" collapsed="false">
      <c r="A113" s="2" t="s">
        <v>72</v>
      </c>
      <c r="B113" s="2" t="n">
        <v>2020</v>
      </c>
      <c r="C113" s="2" t="s">
        <v>16</v>
      </c>
      <c r="D113" s="3" t="n">
        <v>2036239</v>
      </c>
      <c r="E113" s="3" t="n">
        <v>6881725</v>
      </c>
      <c r="F113" s="2" t="s">
        <v>17</v>
      </c>
      <c r="G113" s="3" t="n">
        <v>3380</v>
      </c>
      <c r="H113" s="2" t="s">
        <v>15</v>
      </c>
      <c r="I113" s="2" t="n">
        <v>1000</v>
      </c>
      <c r="J113" s="4" t="n">
        <f aca="false">IFERROR(E113*I113/D113,"")</f>
        <v>3379.62537796398</v>
      </c>
      <c r="K113" s="5" t="n">
        <f aca="false">IFERROR((J113-G113)/G113,"")</f>
        <v>-0.000110834921898975</v>
      </c>
      <c r="L113" s="2" t="str">
        <f aca="false">IF(K113="","",IF(ABS(K113)&gt;0.05,"CHECK","OK"))</f>
        <v>OK</v>
      </c>
    </row>
    <row r="114" customFormat="false" ht="15" hidden="false" customHeight="false" outlineLevel="0" collapsed="false">
      <c r="A114" s="2" t="s">
        <v>73</v>
      </c>
      <c r="B114" s="2" t="n">
        <v>2021</v>
      </c>
      <c r="C114" s="2" t="s">
        <v>13</v>
      </c>
      <c r="D114" s="3" t="n">
        <v>3974053</v>
      </c>
      <c r="E114" s="3" t="n">
        <v>11997533</v>
      </c>
      <c r="F114" s="2" t="s">
        <v>14</v>
      </c>
      <c r="G114" s="3" t="n">
        <v>3019</v>
      </c>
      <c r="H114" s="2" t="s">
        <v>15</v>
      </c>
      <c r="I114" s="2" t="n">
        <v>1000</v>
      </c>
      <c r="J114" s="4" t="n">
        <f aca="false">IFERROR(E114*I114/D114,"")</f>
        <v>3018.96653114591</v>
      </c>
      <c r="K114" s="5" t="n">
        <f aca="false">IFERROR((J114-G114)/G114,"")</f>
        <v>-1.10860729013841E-005</v>
      </c>
      <c r="L114" s="2" t="str">
        <f aca="false">IF(K114="","",IF(ABS(K114)&gt;0.05,"CHECK","OK"))</f>
        <v>OK</v>
      </c>
    </row>
    <row r="115" customFormat="false" ht="15" hidden="false" customHeight="false" outlineLevel="0" collapsed="false">
      <c r="A115" s="2" t="s">
        <v>73</v>
      </c>
      <c r="B115" s="2" t="n">
        <v>2021</v>
      </c>
      <c r="C115" s="2" t="s">
        <v>16</v>
      </c>
      <c r="D115" s="3" t="n">
        <v>2217269</v>
      </c>
      <c r="E115" s="3" t="n">
        <v>7906373</v>
      </c>
      <c r="F115" s="2" t="s">
        <v>17</v>
      </c>
      <c r="G115" s="3" t="n">
        <v>3566</v>
      </c>
      <c r="H115" s="2" t="s">
        <v>15</v>
      </c>
      <c r="I115" s="2" t="n">
        <v>1000</v>
      </c>
      <c r="J115" s="4" t="n">
        <f aca="false">IFERROR(E115*I115/D115,"")</f>
        <v>3565.81587529524</v>
      </c>
      <c r="K115" s="5" t="n">
        <f aca="false">IFERROR((J115-G115)/G115,"")</f>
        <v>-5.16334001010955E-005</v>
      </c>
      <c r="L115" s="2" t="str">
        <f aca="false">IF(K115="","",IF(ABS(K115)&gt;0.05,"CHECK","OK"))</f>
        <v>OK</v>
      </c>
    </row>
    <row r="116" customFormat="false" ht="15" hidden="false" customHeight="false" outlineLevel="0" collapsed="false">
      <c r="A116" s="2" t="s">
        <v>74</v>
      </c>
      <c r="B116" s="2" t="n">
        <v>2022</v>
      </c>
      <c r="C116" s="2" t="s">
        <v>13</v>
      </c>
      <c r="D116" s="3" t="n">
        <v>3873772</v>
      </c>
      <c r="E116" s="3" t="n">
        <v>11690741</v>
      </c>
      <c r="F116" s="2" t="s">
        <v>14</v>
      </c>
      <c r="G116" s="3" t="n">
        <v>3018</v>
      </c>
      <c r="H116" s="2" t="s">
        <v>15</v>
      </c>
      <c r="I116" s="2" t="n">
        <v>1000</v>
      </c>
      <c r="J116" s="4" t="n">
        <f aca="false">IFERROR(E116*I116/D116,"")</f>
        <v>3017.92180851119</v>
      </c>
      <c r="K116" s="5" t="n">
        <f aca="false">IFERROR((J116-G116)/G116,"")</f>
        <v>-2.59083793282093E-005</v>
      </c>
      <c r="L116" s="2" t="str">
        <f aca="false">IF(K116="","",IF(ABS(K116)&gt;0.05,"CHECK","OK"))</f>
        <v>OK</v>
      </c>
    </row>
    <row r="117" customFormat="false" ht="15" hidden="false" customHeight="false" outlineLevel="0" collapsed="false">
      <c r="A117" s="2" t="s">
        <v>74</v>
      </c>
      <c r="B117" s="2" t="n">
        <v>2022</v>
      </c>
      <c r="C117" s="2" t="s">
        <v>16</v>
      </c>
      <c r="D117" s="3" t="n">
        <v>2158898</v>
      </c>
      <c r="E117" s="3" t="n">
        <v>7556567</v>
      </c>
      <c r="F117" s="2" t="s">
        <v>17</v>
      </c>
      <c r="G117" s="3" t="n">
        <v>3500</v>
      </c>
      <c r="H117" s="2" t="s">
        <v>15</v>
      </c>
      <c r="I117" s="2" t="n">
        <v>1000</v>
      </c>
      <c r="J117" s="4" t="n">
        <f aca="false">IFERROR(E117*I117/D117,"")</f>
        <v>3500.19639649488</v>
      </c>
      <c r="K117" s="5" t="n">
        <f aca="false">IFERROR((J117-G117)/G117,"")</f>
        <v>5.61132842510363E-005</v>
      </c>
      <c r="L117" s="2" t="str">
        <f aca="false">IF(K117="","",IF(ABS(K117)&gt;0.05,"CHECK","OK"))</f>
        <v>OK</v>
      </c>
    </row>
    <row r="118" customFormat="false" ht="15" hidden="false" customHeight="false" outlineLevel="0" collapsed="false">
      <c r="A118" s="2" t="s">
        <v>75</v>
      </c>
      <c r="B118" s="2" t="n">
        <v>2023</v>
      </c>
      <c r="C118" s="2" t="s">
        <v>13</v>
      </c>
      <c r="D118" s="3" t="n">
        <v>3771031</v>
      </c>
      <c r="E118" s="3" t="n">
        <v>10950620</v>
      </c>
      <c r="F118" s="2" t="s">
        <v>14</v>
      </c>
      <c r="G118" s="3" t="n">
        <v>2904</v>
      </c>
      <c r="H118" s="2" t="s">
        <v>15</v>
      </c>
      <c r="I118" s="2" t="n">
        <v>1000</v>
      </c>
      <c r="J118" s="4" t="n">
        <f aca="false">IFERROR(E118*I118/D118,"")</f>
        <v>2903.87960215655</v>
      </c>
      <c r="K118" s="5" t="n">
        <f aca="false">IFERROR((J118-G118)/G118,"")</f>
        <v>-4.14593124843704E-005</v>
      </c>
      <c r="L118" s="2" t="str">
        <f aca="false">IF(K118="","",IF(ABS(K118)&gt;0.05,"CHECK","OK"))</f>
        <v>OK</v>
      </c>
    </row>
    <row r="119" customFormat="false" ht="15" hidden="false" customHeight="false" outlineLevel="0" collapsed="false">
      <c r="A119" s="2" t="s">
        <v>75</v>
      </c>
      <c r="B119" s="2" t="n">
        <v>2023</v>
      </c>
      <c r="C119" s="2" t="s">
        <v>16</v>
      </c>
      <c r="D119" s="3" t="n">
        <v>2101596</v>
      </c>
      <c r="E119" s="3" t="n">
        <v>7048135</v>
      </c>
      <c r="F119" s="2" t="s">
        <v>17</v>
      </c>
      <c r="G119" s="3" t="n">
        <v>3354</v>
      </c>
      <c r="H119" s="2" t="s">
        <v>15</v>
      </c>
      <c r="I119" s="2" t="n">
        <v>1000</v>
      </c>
      <c r="J119" s="4" t="n">
        <f aca="false">IFERROR(E119*I119/D119,"")</f>
        <v>3353.70594538627</v>
      </c>
      <c r="K119" s="5" t="n">
        <f aca="false">IFERROR((J119-G119)/G119,"")</f>
        <v>-8.76728126808385E-005</v>
      </c>
      <c r="L119" s="2" t="str">
        <f aca="false">IF(K119="","",IF(ABS(K119)&gt;0.05,"CHECK","OK"))</f>
        <v>OK</v>
      </c>
    </row>
    <row r="120" customFormat="false" ht="15" hidden="false" customHeight="false" outlineLevel="0" collapsed="false">
      <c r="A120" s="2" t="s">
        <v>76</v>
      </c>
      <c r="B120" s="2" t="n">
        <v>2024</v>
      </c>
      <c r="C120" s="2" t="s">
        <v>13</v>
      </c>
      <c r="D120" s="3" t="n">
        <v>3852221</v>
      </c>
      <c r="E120" s="3" t="n">
        <v>11004401</v>
      </c>
      <c r="F120" s="2" t="s">
        <v>14</v>
      </c>
      <c r="G120" s="3" t="n">
        <v>2857</v>
      </c>
      <c r="H120" s="2" t="s">
        <v>15</v>
      </c>
      <c r="I120" s="2" t="n">
        <v>1000</v>
      </c>
      <c r="J120" s="4" t="n">
        <f aca="false">IFERROR(E120*I120/D120,"")</f>
        <v>2856.6380277767</v>
      </c>
      <c r="K120" s="5" t="n">
        <f aca="false">IFERROR((J120-G120)/G120,"")</f>
        <v>-0.000126696612984446</v>
      </c>
      <c r="L120" s="2" t="str">
        <f aca="false">IF(K120="","",IF(ABS(K120)&gt;0.05,"CHECK","OK"))</f>
        <v>OK</v>
      </c>
    </row>
    <row r="121" customFormat="false" ht="15" hidden="false" customHeight="false" outlineLevel="0" collapsed="false">
      <c r="A121" s="2" t="s">
        <v>76</v>
      </c>
      <c r="B121" s="2" t="n">
        <v>2024</v>
      </c>
      <c r="C121" s="2" t="s">
        <v>16</v>
      </c>
      <c r="D121" s="3" t="n">
        <v>2157755</v>
      </c>
      <c r="E121" s="3" t="n">
        <v>7093817</v>
      </c>
      <c r="F121" s="2" t="s">
        <v>17</v>
      </c>
      <c r="G121" s="3" t="n">
        <v>3288</v>
      </c>
      <c r="H121" s="2" t="s">
        <v>15</v>
      </c>
      <c r="I121" s="2" t="n">
        <v>1000</v>
      </c>
      <c r="J121" s="4" t="n">
        <f aca="false">IFERROR(E121*I121/D121,"")</f>
        <v>3287.5915013521</v>
      </c>
      <c r="K121" s="5" t="n">
        <f aca="false">IFERROR((J121-G121)/G121,"")</f>
        <v>-0.000124239248144818</v>
      </c>
      <c r="L121" s="2" t="str">
        <f aca="false">IF(K121="","",IF(ABS(K121)&gt;0.05,"CHECK","OK"))</f>
        <v>OK</v>
      </c>
    </row>
    <row r="122" customFormat="false" ht="15" hidden="false" customHeight="false" outlineLevel="0" collapsed="false">
      <c r="A122" s="2" t="s">
        <v>12</v>
      </c>
      <c r="B122" s="2" t="n">
        <v>1965</v>
      </c>
      <c r="C122" s="2" t="s">
        <v>77</v>
      </c>
      <c r="D122" s="3" t="n">
        <v>759055</v>
      </c>
      <c r="E122" s="3" t="n">
        <v>512650</v>
      </c>
      <c r="F122" s="2" t="s">
        <v>14</v>
      </c>
      <c r="G122" s="3" t="n">
        <v>675</v>
      </c>
      <c r="H122" s="2" t="s">
        <v>15</v>
      </c>
      <c r="I122" s="2" t="n">
        <v>1000</v>
      </c>
      <c r="J122" s="4" t="n">
        <f aca="false">IFERROR(E122*I122/D122,"")</f>
        <v>675.379254467726</v>
      </c>
      <c r="K122" s="5" t="n">
        <f aca="false">IFERROR((J122-G122)/G122,"")</f>
        <v>0.000561858470705711</v>
      </c>
      <c r="L122" s="2" t="str">
        <f aca="false">IF(K122="","",IF(ABS(K122)&gt;0.05,"CHECK","OK"))</f>
        <v>OK</v>
      </c>
    </row>
    <row r="123" customFormat="false" ht="15" hidden="false" customHeight="false" outlineLevel="0" collapsed="false">
      <c r="A123" s="2" t="s">
        <v>12</v>
      </c>
      <c r="B123" s="2" t="n">
        <v>1965</v>
      </c>
      <c r="C123" s="2" t="s">
        <v>78</v>
      </c>
      <c r="D123" s="3" t="n">
        <v>400230</v>
      </c>
      <c r="E123" s="3" t="n">
        <v>235290</v>
      </c>
      <c r="F123" s="2" t="s">
        <v>14</v>
      </c>
      <c r="G123" s="3" t="n">
        <v>588</v>
      </c>
      <c r="H123" s="2" t="s">
        <v>15</v>
      </c>
      <c r="I123" s="2" t="n">
        <v>1000</v>
      </c>
      <c r="J123" s="4" t="n">
        <f aca="false">IFERROR(E123*I123/D123,"")</f>
        <v>587.886964995128</v>
      </c>
      <c r="K123" s="5" t="n">
        <f aca="false">IFERROR((J123-G123)/G123,"")</f>
        <v>-0.000192236402843954</v>
      </c>
      <c r="L123" s="2" t="str">
        <f aca="false">IF(K123="","",IF(ABS(K123)&gt;0.05,"CHECK","OK"))</f>
        <v>OK</v>
      </c>
    </row>
    <row r="124" customFormat="false" ht="15" hidden="false" customHeight="false" outlineLevel="0" collapsed="false">
      <c r="A124" s="2" t="s">
        <v>18</v>
      </c>
      <c r="B124" s="2" t="n">
        <v>1966</v>
      </c>
      <c r="C124" s="2" t="s">
        <v>77</v>
      </c>
      <c r="D124" s="3" t="n">
        <v>743147</v>
      </c>
      <c r="E124" s="3" t="n">
        <v>558100</v>
      </c>
      <c r="F124" s="2" t="s">
        <v>14</v>
      </c>
      <c r="G124" s="3" t="n">
        <v>751</v>
      </c>
      <c r="H124" s="2" t="s">
        <v>15</v>
      </c>
      <c r="I124" s="2" t="n">
        <v>1000</v>
      </c>
      <c r="J124" s="4" t="n">
        <f aca="false">IFERROR(E124*I124/D124,"")</f>
        <v>750.995428898993</v>
      </c>
      <c r="K124" s="5" t="n">
        <f aca="false">IFERROR((J124-G124)/G124,"")</f>
        <v>-6.08668576157837E-006</v>
      </c>
      <c r="L124" s="2" t="str">
        <f aca="false">IF(K124="","",IF(ABS(K124)&gt;0.05,"CHECK","OK"))</f>
        <v>OK</v>
      </c>
    </row>
    <row r="125" customFormat="false" ht="15" hidden="false" customHeight="false" outlineLevel="0" collapsed="false">
      <c r="A125" s="2" t="s">
        <v>18</v>
      </c>
      <c r="B125" s="2" t="n">
        <v>1966</v>
      </c>
      <c r="C125" s="2" t="s">
        <v>78</v>
      </c>
      <c r="D125" s="3" t="n">
        <v>414672</v>
      </c>
      <c r="E125" s="3" t="n">
        <v>303910</v>
      </c>
      <c r="F125" s="2" t="s">
        <v>14</v>
      </c>
      <c r="G125" s="3" t="n">
        <v>733</v>
      </c>
      <c r="H125" s="2" t="s">
        <v>15</v>
      </c>
      <c r="I125" s="2" t="n">
        <v>1000</v>
      </c>
      <c r="J125" s="4" t="n">
        <f aca="false">IFERROR(E125*I125/D125,"")</f>
        <v>732.892502990315</v>
      </c>
      <c r="K125" s="5" t="n">
        <f aca="false">IFERROR((J125-G125)/G125,"")</f>
        <v>-0.000146653492066468</v>
      </c>
      <c r="L125" s="2" t="str">
        <f aca="false">IF(K125="","",IF(ABS(K125)&gt;0.05,"CHECK","OK"))</f>
        <v>OK</v>
      </c>
    </row>
    <row r="126" customFormat="false" ht="15" hidden="false" customHeight="false" outlineLevel="0" collapsed="false">
      <c r="A126" s="2" t="s">
        <v>19</v>
      </c>
      <c r="B126" s="2" t="n">
        <v>1967</v>
      </c>
      <c r="C126" s="2" t="s">
        <v>77</v>
      </c>
      <c r="D126" s="3" t="n">
        <v>704837</v>
      </c>
      <c r="E126" s="3" t="n">
        <v>524570</v>
      </c>
      <c r="F126" s="2" t="s">
        <v>14</v>
      </c>
      <c r="G126" s="3" t="n">
        <v>743</v>
      </c>
      <c r="H126" s="2" t="s">
        <v>15</v>
      </c>
      <c r="I126" s="2" t="n">
        <v>1000</v>
      </c>
      <c r="J126" s="4" t="n">
        <f aca="false">IFERROR(E126*I126/D126,"")</f>
        <v>744.242995188959</v>
      </c>
      <c r="K126" s="5" t="n">
        <f aca="false">IFERROR((J126-G126)/G126,"")</f>
        <v>0.00167294103493757</v>
      </c>
      <c r="L126" s="2" t="str">
        <f aca="false">IF(K126="","",IF(ABS(K126)&gt;0.05,"CHECK","OK"))</f>
        <v>OK</v>
      </c>
    </row>
    <row r="127" customFormat="false" ht="15" hidden="false" customHeight="false" outlineLevel="0" collapsed="false">
      <c r="A127" s="2" t="s">
        <v>19</v>
      </c>
      <c r="B127" s="2" t="n">
        <v>1967</v>
      </c>
      <c r="C127" s="2" t="s">
        <v>78</v>
      </c>
      <c r="D127" s="3" t="n">
        <v>430258</v>
      </c>
      <c r="E127" s="3" t="n">
        <v>287290</v>
      </c>
      <c r="F127" s="2" t="s">
        <v>14</v>
      </c>
      <c r="G127" s="3" t="n">
        <v>668</v>
      </c>
      <c r="H127" s="2" t="s">
        <v>15</v>
      </c>
      <c r="I127" s="2" t="n">
        <v>1000</v>
      </c>
      <c r="J127" s="4" t="n">
        <f aca="false">IFERROR(E127*I127/D127,"")</f>
        <v>667.71564967996</v>
      </c>
      <c r="K127" s="5" t="n">
        <f aca="false">IFERROR((J127-G127)/G127,"")</f>
        <v>-0.000425674131797181</v>
      </c>
      <c r="L127" s="2" t="str">
        <f aca="false">IF(K127="","",IF(ABS(K127)&gt;0.05,"CHECK","OK"))</f>
        <v>OK</v>
      </c>
    </row>
    <row r="128" customFormat="false" ht="15" hidden="false" customHeight="false" outlineLevel="0" collapsed="false">
      <c r="A128" s="2" t="s">
        <v>20</v>
      </c>
      <c r="B128" s="2" t="n">
        <v>1968</v>
      </c>
      <c r="C128" s="2" t="s">
        <v>77</v>
      </c>
      <c r="D128" s="3" t="n">
        <v>700174</v>
      </c>
      <c r="E128" s="3" t="n">
        <v>495360</v>
      </c>
      <c r="F128" s="2" t="s">
        <v>14</v>
      </c>
      <c r="G128" s="3" t="n">
        <v>707</v>
      </c>
      <c r="H128" s="2" t="s">
        <v>15</v>
      </c>
      <c r="I128" s="2" t="n">
        <v>1000</v>
      </c>
      <c r="J128" s="4" t="n">
        <f aca="false">IFERROR(E128*I128/D128,"")</f>
        <v>707.481283223884</v>
      </c>
      <c r="K128" s="5" t="n">
        <f aca="false">IFERROR((J128-G128)/G128,"")</f>
        <v>0.000680740062071232</v>
      </c>
      <c r="L128" s="2" t="str">
        <f aca="false">IF(K128="","",IF(ABS(K128)&gt;0.05,"CHECK","OK"))</f>
        <v>OK</v>
      </c>
    </row>
    <row r="129" customFormat="false" ht="15" hidden="false" customHeight="false" outlineLevel="0" collapsed="false">
      <c r="A129" s="2" t="s">
        <v>20</v>
      </c>
      <c r="B129" s="2" t="n">
        <v>1968</v>
      </c>
      <c r="C129" s="2" t="s">
        <v>78</v>
      </c>
      <c r="D129" s="3" t="n">
        <v>457414</v>
      </c>
      <c r="E129" s="3" t="n">
        <v>287780</v>
      </c>
      <c r="F129" s="2" t="s">
        <v>14</v>
      </c>
      <c r="G129" s="3" t="n">
        <v>629</v>
      </c>
      <c r="H129" s="2" t="s">
        <v>15</v>
      </c>
      <c r="I129" s="2" t="n">
        <v>1000</v>
      </c>
      <c r="J129" s="4" t="n">
        <f aca="false">IFERROR(E129*I129/D129,"")</f>
        <v>629.145588023104</v>
      </c>
      <c r="K129" s="5" t="n">
        <f aca="false">IFERROR((J129-G129)/G129,"")</f>
        <v>0.00023145949619039</v>
      </c>
      <c r="L129" s="2" t="str">
        <f aca="false">IF(K129="","",IF(ABS(K129)&gt;0.05,"CHECK","OK"))</f>
        <v>OK</v>
      </c>
    </row>
    <row r="130" customFormat="false" ht="15" hidden="false" customHeight="false" outlineLevel="0" collapsed="false">
      <c r="A130" s="2" t="s">
        <v>21</v>
      </c>
      <c r="B130" s="2" t="n">
        <v>1969</v>
      </c>
      <c r="C130" s="2" t="s">
        <v>77</v>
      </c>
      <c r="D130" s="3" t="n">
        <v>781933</v>
      </c>
      <c r="E130" s="3" t="n">
        <v>616900</v>
      </c>
      <c r="F130" s="2" t="s">
        <v>14</v>
      </c>
      <c r="G130" s="3" t="n">
        <v>790</v>
      </c>
      <c r="H130" s="2" t="s">
        <v>15</v>
      </c>
      <c r="I130" s="2" t="n">
        <v>1000</v>
      </c>
      <c r="J130" s="4" t="n">
        <f aca="false">IFERROR(E130*I130/D130,"")</f>
        <v>788.942275105412</v>
      </c>
      <c r="K130" s="5" t="n">
        <f aca="false">IFERROR((J130-G130)/G130,"")</f>
        <v>-0.00133889227163064</v>
      </c>
      <c r="L130" s="2" t="str">
        <f aca="false">IF(K130="","",IF(ABS(K130)&gt;0.05,"CHECK","OK"))</f>
        <v>OK</v>
      </c>
    </row>
    <row r="131" customFormat="false" ht="15" hidden="false" customHeight="false" outlineLevel="0" collapsed="false">
      <c r="A131" s="2" t="s">
        <v>21</v>
      </c>
      <c r="B131" s="2" t="n">
        <v>1969</v>
      </c>
      <c r="C131" s="2" t="s">
        <v>78</v>
      </c>
      <c r="D131" s="3" t="n">
        <v>482259</v>
      </c>
      <c r="E131" s="3" t="n">
        <v>325420</v>
      </c>
      <c r="F131" s="2" t="s">
        <v>14</v>
      </c>
      <c r="G131" s="3" t="n">
        <v>675</v>
      </c>
      <c r="H131" s="2" t="s">
        <v>15</v>
      </c>
      <c r="I131" s="2" t="n">
        <v>1000</v>
      </c>
      <c r="J131" s="4" t="n">
        <f aca="false">IFERROR(E131*I131/D131,"")</f>
        <v>674.782637545385</v>
      </c>
      <c r="K131" s="5" t="n">
        <f aca="false">IFERROR((J131-G131)/G131,"")</f>
        <v>-0.000322018451280975</v>
      </c>
      <c r="L131" s="2" t="str">
        <f aca="false">IF(K131="","",IF(ABS(K131)&gt;0.05,"CHECK","OK"))</f>
        <v>OK</v>
      </c>
    </row>
    <row r="132" customFormat="false" ht="15" hidden="false" customHeight="false" outlineLevel="0" collapsed="false">
      <c r="A132" s="2" t="s">
        <v>22</v>
      </c>
      <c r="B132" s="2" t="n">
        <v>1970</v>
      </c>
      <c r="C132" s="2" t="s">
        <v>77</v>
      </c>
      <c r="D132" s="3" t="n">
        <v>742459</v>
      </c>
      <c r="E132" s="3" t="n">
        <v>543210</v>
      </c>
      <c r="F132" s="2" t="s">
        <v>14</v>
      </c>
      <c r="G132" s="3" t="n">
        <v>732</v>
      </c>
      <c r="H132" s="2" t="s">
        <v>15</v>
      </c>
      <c r="I132" s="2" t="n">
        <v>1000</v>
      </c>
      <c r="J132" s="4" t="n">
        <f aca="false">IFERROR(E132*I132/D132,"")</f>
        <v>731.63635971818</v>
      </c>
      <c r="K132" s="5" t="n">
        <f aca="false">IFERROR((J132-G132)/G132,"")</f>
        <v>-0.000496776341284518</v>
      </c>
      <c r="L132" s="2" t="str">
        <f aca="false">IF(K132="","",IF(ABS(K132)&gt;0.05,"CHECK","OK"))</f>
        <v>OK</v>
      </c>
    </row>
    <row r="133" customFormat="false" ht="15" hidden="false" customHeight="false" outlineLevel="0" collapsed="false">
      <c r="A133" s="2" t="s">
        <v>22</v>
      </c>
      <c r="B133" s="2" t="n">
        <v>1970</v>
      </c>
      <c r="C133" s="2" t="s">
        <v>78</v>
      </c>
      <c r="D133" s="3" t="n">
        <v>474863</v>
      </c>
      <c r="E133" s="3" t="n">
        <v>312370</v>
      </c>
      <c r="F133" s="2" t="s">
        <v>14</v>
      </c>
      <c r="G133" s="3" t="n">
        <v>658</v>
      </c>
      <c r="H133" s="2" t="s">
        <v>15</v>
      </c>
      <c r="I133" s="2" t="n">
        <v>1000</v>
      </c>
      <c r="J133" s="4" t="n">
        <f aca="false">IFERROR(E133*I133/D133,"")</f>
        <v>657.810779108922</v>
      </c>
      <c r="K133" s="5" t="n">
        <f aca="false">IFERROR((J133-G133)/G133,"")</f>
        <v>-0.000287569743279778</v>
      </c>
      <c r="L133" s="2" t="str">
        <f aca="false">IF(K133="","",IF(ABS(K133)&gt;0.05,"CHECK","OK"))</f>
        <v>OK</v>
      </c>
    </row>
    <row r="134" customFormat="false" ht="15" hidden="false" customHeight="false" outlineLevel="0" collapsed="false">
      <c r="A134" s="2" t="s">
        <v>23</v>
      </c>
      <c r="B134" s="2" t="n">
        <v>1971</v>
      </c>
      <c r="C134" s="2" t="s">
        <v>77</v>
      </c>
      <c r="D134" s="3" t="n">
        <v>717902</v>
      </c>
      <c r="E134" s="3" t="n">
        <v>464170</v>
      </c>
      <c r="F134" s="2" t="s">
        <v>14</v>
      </c>
      <c r="G134" s="3" t="n">
        <v>647</v>
      </c>
      <c r="H134" s="2" t="s">
        <v>15</v>
      </c>
      <c r="I134" s="2" t="n">
        <v>1000</v>
      </c>
      <c r="J134" s="4" t="n">
        <f aca="false">IFERROR(E134*I134/D134,"")</f>
        <v>646.564572880421</v>
      </c>
      <c r="K134" s="5" t="n">
        <f aca="false">IFERROR((J134-G134)/G134,"")</f>
        <v>-0.0006729940024405</v>
      </c>
      <c r="L134" s="2" t="str">
        <f aca="false">IF(K134="","",IF(ABS(K134)&gt;0.05,"CHECK","OK"))</f>
        <v>OK</v>
      </c>
    </row>
    <row r="135" customFormat="false" ht="15" hidden="false" customHeight="false" outlineLevel="0" collapsed="false">
      <c r="A135" s="2" t="s">
        <v>23</v>
      </c>
      <c r="B135" s="2" t="n">
        <v>1971</v>
      </c>
      <c r="C135" s="2" t="s">
        <v>78</v>
      </c>
      <c r="D135" s="3" t="n">
        <v>448646</v>
      </c>
      <c r="E135" s="3" t="n">
        <v>272930</v>
      </c>
      <c r="F135" s="2" t="s">
        <v>14</v>
      </c>
      <c r="G135" s="3" t="n">
        <v>609</v>
      </c>
      <c r="H135" s="2" t="s">
        <v>15</v>
      </c>
      <c r="I135" s="2" t="n">
        <v>1000</v>
      </c>
      <c r="J135" s="4" t="n">
        <f aca="false">IFERROR(E135*I135/D135,"")</f>
        <v>608.341543221159</v>
      </c>
      <c r="K135" s="5" t="n">
        <f aca="false">IFERROR((J135-G135)/G135,"")</f>
        <v>-0.0010812098174733</v>
      </c>
      <c r="L135" s="2" t="str">
        <f aca="false">IF(K135="","",IF(ABS(K135)&gt;0.05,"CHECK","OK"))</f>
        <v>OK</v>
      </c>
    </row>
    <row r="136" customFormat="false" ht="15" hidden="false" customHeight="false" outlineLevel="0" collapsed="false">
      <c r="A136" s="2" t="s">
        <v>24</v>
      </c>
      <c r="B136" s="2" t="n">
        <v>1972</v>
      </c>
      <c r="C136" s="2" t="s">
        <v>77</v>
      </c>
      <c r="D136" s="3" t="n">
        <v>679624</v>
      </c>
      <c r="E136" s="3" t="n">
        <v>524300</v>
      </c>
      <c r="F136" s="2" t="s">
        <v>14</v>
      </c>
      <c r="G136" s="3" t="n">
        <v>771</v>
      </c>
      <c r="H136" s="2" t="s">
        <v>15</v>
      </c>
      <c r="I136" s="2" t="n">
        <v>1000</v>
      </c>
      <c r="J136" s="4" t="n">
        <f aca="false">IFERROR(E136*I136/D136,"")</f>
        <v>771.455981542735</v>
      </c>
      <c r="K136" s="5" t="n">
        <f aca="false">IFERROR((J136-G136)/G136,"")</f>
        <v>0.000591415749332483</v>
      </c>
      <c r="L136" s="2" t="str">
        <f aca="false">IF(K136="","",IF(ABS(K136)&gt;0.05,"CHECK","OK"))</f>
        <v>OK</v>
      </c>
    </row>
    <row r="137" customFormat="false" ht="15" hidden="false" customHeight="false" outlineLevel="0" collapsed="false">
      <c r="A137" s="2" t="s">
        <v>24</v>
      </c>
      <c r="B137" s="2" t="n">
        <v>1972</v>
      </c>
      <c r="C137" s="2" t="s">
        <v>78</v>
      </c>
      <c r="D137" s="3" t="n">
        <v>427979</v>
      </c>
      <c r="E137" s="3" t="n">
        <v>259530</v>
      </c>
      <c r="F137" s="2" t="s">
        <v>14</v>
      </c>
      <c r="G137" s="3" t="n">
        <v>606</v>
      </c>
      <c r="H137" s="2" t="s">
        <v>15</v>
      </c>
      <c r="I137" s="2" t="n">
        <v>1000</v>
      </c>
      <c r="J137" s="4" t="n">
        <f aca="false">IFERROR(E137*I137/D137,"")</f>
        <v>606.408258349125</v>
      </c>
      <c r="K137" s="5" t="n">
        <f aca="false">IFERROR((J137-G137)/G137,"")</f>
        <v>0.000673693645420122</v>
      </c>
      <c r="L137" s="2" t="str">
        <f aca="false">IF(K137="","",IF(ABS(K137)&gt;0.05,"CHECK","OK"))</f>
        <v>OK</v>
      </c>
    </row>
    <row r="138" customFormat="false" ht="15" hidden="false" customHeight="false" outlineLevel="0" collapsed="false">
      <c r="A138" s="2" t="s">
        <v>25</v>
      </c>
      <c r="B138" s="2" t="n">
        <v>1973</v>
      </c>
      <c r="C138" s="2" t="s">
        <v>77</v>
      </c>
      <c r="D138" s="3" t="n">
        <v>640946</v>
      </c>
      <c r="E138" s="3" t="n">
        <v>575650</v>
      </c>
      <c r="F138" s="2" t="s">
        <v>14</v>
      </c>
      <c r="G138" s="3" t="n">
        <v>898</v>
      </c>
      <c r="H138" s="2" t="s">
        <v>15</v>
      </c>
      <c r="I138" s="2" t="n">
        <v>1000</v>
      </c>
      <c r="J138" s="4" t="n">
        <f aca="false">IFERROR(E138*I138/D138,"")</f>
        <v>898.125583122447</v>
      </c>
      <c r="K138" s="5" t="n">
        <f aca="false">IFERROR((J138-G138)/G138,"")</f>
        <v>0.000139847575108125</v>
      </c>
      <c r="L138" s="2" t="str">
        <f aca="false">IF(K138="","",IF(ABS(K138)&gt;0.05,"CHECK","OK"))</f>
        <v>OK</v>
      </c>
    </row>
    <row r="139" customFormat="false" ht="15" hidden="false" customHeight="false" outlineLevel="0" collapsed="false">
      <c r="A139" s="2" t="s">
        <v>25</v>
      </c>
      <c r="B139" s="2" t="n">
        <v>1973</v>
      </c>
      <c r="C139" s="2" t="s">
        <v>78</v>
      </c>
      <c r="D139" s="3" t="n">
        <v>401220</v>
      </c>
      <c r="E139" s="3" t="n">
        <v>340470</v>
      </c>
      <c r="F139" s="2" t="s">
        <v>14</v>
      </c>
      <c r="G139" s="3" t="n">
        <v>849</v>
      </c>
      <c r="H139" s="2" t="s">
        <v>15</v>
      </c>
      <c r="I139" s="2" t="n">
        <v>1000</v>
      </c>
      <c r="J139" s="4" t="n">
        <f aca="false">IFERROR(E139*I139/D139,"")</f>
        <v>848.586810228802</v>
      </c>
      <c r="K139" s="5" t="n">
        <f aca="false">IFERROR((J139-G139)/G139,"")</f>
        <v>-0.000486678175733611</v>
      </c>
      <c r="L139" s="2" t="str">
        <f aca="false">IF(K139="","",IF(ABS(K139)&gt;0.05,"CHECK","OK"))</f>
        <v>OK</v>
      </c>
    </row>
    <row r="140" customFormat="false" ht="15" hidden="false" customHeight="false" outlineLevel="0" collapsed="false">
      <c r="A140" s="2" t="s">
        <v>26</v>
      </c>
      <c r="B140" s="2" t="n">
        <v>1974</v>
      </c>
      <c r="C140" s="2" t="s">
        <v>77</v>
      </c>
      <c r="D140" s="3" t="n">
        <v>675415</v>
      </c>
      <c r="E140" s="3" t="n">
        <v>406400</v>
      </c>
      <c r="F140" s="2" t="s">
        <v>14</v>
      </c>
      <c r="G140" s="3" t="n">
        <v>602</v>
      </c>
      <c r="H140" s="2" t="s">
        <v>15</v>
      </c>
      <c r="I140" s="2" t="n">
        <v>1000</v>
      </c>
      <c r="J140" s="4" t="n">
        <f aca="false">IFERROR(E140*I140/D140,"")</f>
        <v>601.704137456231</v>
      </c>
      <c r="K140" s="5" t="n">
        <f aca="false">IFERROR((J140-G140)/G140,"")</f>
        <v>-0.00049146601955055</v>
      </c>
      <c r="L140" s="2" t="str">
        <f aca="false">IF(K140="","",IF(ABS(K140)&gt;0.05,"CHECK","OK"))</f>
        <v>OK</v>
      </c>
    </row>
    <row r="141" customFormat="false" ht="15" hidden="false" customHeight="false" outlineLevel="0" collapsed="false">
      <c r="A141" s="2" t="s">
        <v>26</v>
      </c>
      <c r="B141" s="2" t="n">
        <v>1974</v>
      </c>
      <c r="C141" s="2" t="s">
        <v>78</v>
      </c>
      <c r="D141" s="3" t="n">
        <v>372501</v>
      </c>
      <c r="E141" s="3" t="n">
        <v>214530</v>
      </c>
      <c r="F141" s="2" t="s">
        <v>14</v>
      </c>
      <c r="G141" s="3" t="n">
        <v>576</v>
      </c>
      <c r="H141" s="2" t="s">
        <v>15</v>
      </c>
      <c r="I141" s="2" t="n">
        <v>1000</v>
      </c>
      <c r="J141" s="4" t="n">
        <f aca="false">IFERROR(E141*I141/D141,"")</f>
        <v>575.917916998881</v>
      </c>
      <c r="K141" s="5" t="n">
        <f aca="false">IFERROR((J141-G141)/G141,"")</f>
        <v>-0.000142505210276885</v>
      </c>
      <c r="L141" s="2" t="str">
        <f aca="false">IF(K141="","",IF(ABS(K141)&gt;0.05,"CHECK","OK"))</f>
        <v>OK</v>
      </c>
    </row>
    <row r="142" customFormat="false" ht="15" hidden="false" customHeight="false" outlineLevel="0" collapsed="false">
      <c r="A142" s="2" t="s">
        <v>27</v>
      </c>
      <c r="B142" s="2" t="n">
        <v>1975</v>
      </c>
      <c r="C142" s="2" t="s">
        <v>77</v>
      </c>
      <c r="D142" s="3" t="n">
        <v>816888</v>
      </c>
      <c r="E142" s="3" t="n">
        <v>715560</v>
      </c>
      <c r="F142" s="2" t="s">
        <v>14</v>
      </c>
      <c r="G142" s="3" t="n">
        <v>876</v>
      </c>
      <c r="H142" s="2" t="s">
        <v>15</v>
      </c>
      <c r="I142" s="2" t="n">
        <v>1000</v>
      </c>
      <c r="J142" s="4" t="n">
        <f aca="false">IFERROR(E142*I142/D142,"")</f>
        <v>875.958515732879</v>
      </c>
      <c r="K142" s="5" t="n">
        <f aca="false">IFERROR((J142-G142)/G142,"")</f>
        <v>-4.73564693162826E-005</v>
      </c>
      <c r="L142" s="2" t="str">
        <f aca="false">IF(K142="","",IF(ABS(K142)&gt;0.05,"CHECK","OK"))</f>
        <v>OK</v>
      </c>
    </row>
    <row r="143" customFormat="false" ht="15" hidden="false" customHeight="false" outlineLevel="0" collapsed="false">
      <c r="A143" s="2" t="s">
        <v>27</v>
      </c>
      <c r="B143" s="2" t="n">
        <v>1975</v>
      </c>
      <c r="C143" s="2" t="s">
        <v>78</v>
      </c>
      <c r="D143" s="3" t="n">
        <v>449812</v>
      </c>
      <c r="E143" s="3" t="n">
        <v>329400</v>
      </c>
      <c r="F143" s="2" t="s">
        <v>14</v>
      </c>
      <c r="G143" s="3" t="n">
        <v>733</v>
      </c>
      <c r="H143" s="2" t="s">
        <v>15</v>
      </c>
      <c r="I143" s="2" t="n">
        <v>1000</v>
      </c>
      <c r="J143" s="4" t="n">
        <f aca="false">IFERROR(E143*I143/D143,"")</f>
        <v>732.305941148747</v>
      </c>
      <c r="K143" s="5" t="n">
        <f aca="false">IFERROR((J143-G143)/G143,"")</f>
        <v>-0.000946874285475349</v>
      </c>
      <c r="L143" s="2" t="str">
        <f aca="false">IF(K143="","",IF(ABS(K143)&gt;0.05,"CHECK","OK"))</f>
        <v>OK</v>
      </c>
    </row>
    <row r="144" customFormat="false" ht="15" hidden="false" customHeight="false" outlineLevel="0" collapsed="false">
      <c r="A144" s="2" t="s">
        <v>28</v>
      </c>
      <c r="B144" s="2" t="n">
        <v>1976</v>
      </c>
      <c r="C144" s="2" t="s">
        <v>77</v>
      </c>
      <c r="D144" s="3" t="n">
        <v>841757</v>
      </c>
      <c r="E144" s="3" t="n">
        <v>793520</v>
      </c>
      <c r="F144" s="2" t="s">
        <v>14</v>
      </c>
      <c r="G144" s="3" t="n">
        <v>942</v>
      </c>
      <c r="H144" s="2" t="s">
        <v>15</v>
      </c>
      <c r="I144" s="2" t="n">
        <v>1000</v>
      </c>
      <c r="J144" s="4" t="n">
        <f aca="false">IFERROR(E144*I144/D144,"")</f>
        <v>942.694863244381</v>
      </c>
      <c r="K144" s="5" t="n">
        <f aca="false">IFERROR((J144-G144)/G144,"")</f>
        <v>0.000737646756242554</v>
      </c>
      <c r="L144" s="2" t="str">
        <f aca="false">IF(K144="","",IF(ABS(K144)&gt;0.05,"CHECK","OK"))</f>
        <v>OK</v>
      </c>
    </row>
    <row r="145" customFormat="false" ht="15" hidden="false" customHeight="false" outlineLevel="0" collapsed="false">
      <c r="A145" s="2" t="s">
        <v>28</v>
      </c>
      <c r="B145" s="2" t="n">
        <v>1976</v>
      </c>
      <c r="C145" s="2" t="s">
        <v>78</v>
      </c>
      <c r="D145" s="3" t="n">
        <v>456106</v>
      </c>
      <c r="E145" s="3" t="n">
        <v>460530</v>
      </c>
      <c r="F145" s="2" t="s">
        <v>14</v>
      </c>
      <c r="G145" s="3" t="n">
        <v>1010</v>
      </c>
      <c r="H145" s="2" t="s">
        <v>15</v>
      </c>
      <c r="I145" s="2" t="n">
        <v>1000</v>
      </c>
      <c r="J145" s="4" t="n">
        <f aca="false">IFERROR(E145*I145/D145,"")</f>
        <v>1009.69949967771</v>
      </c>
      <c r="K145" s="5" t="n">
        <f aca="false">IFERROR((J145-G145)/G145,"")</f>
        <v>-0.00029752507157771</v>
      </c>
      <c r="L145" s="2" t="str">
        <f aca="false">IF(K145="","",IF(ABS(K145)&gt;0.05,"CHECK","OK"))</f>
        <v>OK</v>
      </c>
    </row>
    <row r="146" customFormat="false" ht="15" hidden="false" customHeight="false" outlineLevel="0" collapsed="false">
      <c r="A146" s="2" t="s">
        <v>29</v>
      </c>
      <c r="B146" s="2" t="n">
        <v>1977</v>
      </c>
      <c r="C146" s="2" t="s">
        <v>77</v>
      </c>
      <c r="D146" s="3" t="n">
        <v>750770</v>
      </c>
      <c r="E146" s="3" t="n">
        <v>719160</v>
      </c>
      <c r="F146" s="2" t="s">
        <v>14</v>
      </c>
      <c r="G146" s="3" t="n">
        <v>958</v>
      </c>
      <c r="H146" s="2" t="s">
        <v>15</v>
      </c>
      <c r="I146" s="2" t="n">
        <v>1000</v>
      </c>
      <c r="J146" s="4" t="n">
        <f aca="false">IFERROR(E146*I146/D146,"")</f>
        <v>957.896559532214</v>
      </c>
      <c r="K146" s="5" t="n">
        <f aca="false">IFERROR((J146-G146)/G146,"")</f>
        <v>-0.000107975436102728</v>
      </c>
      <c r="L146" s="2" t="str">
        <f aca="false">IF(K146="","",IF(ABS(K146)&gt;0.05,"CHECK","OK"))</f>
        <v>OK</v>
      </c>
    </row>
    <row r="147" customFormat="false" ht="15" hidden="false" customHeight="false" outlineLevel="0" collapsed="false">
      <c r="A147" s="2" t="s">
        <v>29</v>
      </c>
      <c r="B147" s="2" t="n">
        <v>1977</v>
      </c>
      <c r="C147" s="2" t="s">
        <v>78</v>
      </c>
      <c r="D147" s="3" t="n">
        <v>437206</v>
      </c>
      <c r="E147" s="3" t="n">
        <v>374480</v>
      </c>
      <c r="F147" s="2" t="s">
        <v>14</v>
      </c>
      <c r="G147" s="3" t="n">
        <v>857</v>
      </c>
      <c r="H147" s="2" t="s">
        <v>15</v>
      </c>
      <c r="I147" s="2" t="n">
        <v>1000</v>
      </c>
      <c r="J147" s="4" t="n">
        <f aca="false">IFERROR(E147*I147/D147,"")</f>
        <v>856.529873789472</v>
      </c>
      <c r="K147" s="5" t="n">
        <f aca="false">IFERROR((J147-G147)/G147,"")</f>
        <v>-0.000548572007616947</v>
      </c>
      <c r="L147" s="2" t="str">
        <f aca="false">IF(K147="","",IF(ABS(K147)&gt;0.05,"CHECK","OK"))</f>
        <v>OK</v>
      </c>
    </row>
    <row r="148" customFormat="false" ht="15" hidden="false" customHeight="false" outlineLevel="0" collapsed="false">
      <c r="A148" s="2" t="s">
        <v>30</v>
      </c>
      <c r="B148" s="2" t="n">
        <v>1978</v>
      </c>
      <c r="C148" s="2" t="s">
        <v>77</v>
      </c>
      <c r="D148" s="3" t="n">
        <v>695580</v>
      </c>
      <c r="E148" s="3" t="n">
        <v>635670</v>
      </c>
      <c r="F148" s="2" t="s">
        <v>14</v>
      </c>
      <c r="G148" s="3" t="n">
        <v>914</v>
      </c>
      <c r="H148" s="2" t="s">
        <v>15</v>
      </c>
      <c r="I148" s="2" t="n">
        <v>1000</v>
      </c>
      <c r="J148" s="4" t="n">
        <f aca="false">IFERROR(E148*I148/D148,"")</f>
        <v>913.870439058052</v>
      </c>
      <c r="K148" s="5" t="n">
        <f aca="false">IFERROR((J148-G148)/G148,"")</f>
        <v>-0.000141751577623322</v>
      </c>
      <c r="L148" s="2" t="str">
        <f aca="false">IF(K148="","",IF(ABS(K148)&gt;0.05,"CHECK","OK"))</f>
        <v>OK</v>
      </c>
    </row>
    <row r="149" customFormat="false" ht="15" hidden="false" customHeight="false" outlineLevel="0" collapsed="false">
      <c r="A149" s="2" t="s">
        <v>30</v>
      </c>
      <c r="B149" s="2" t="n">
        <v>1978</v>
      </c>
      <c r="C149" s="2" t="s">
        <v>78</v>
      </c>
      <c r="D149" s="3" t="n">
        <v>408510</v>
      </c>
      <c r="E149" s="3" t="n">
        <v>454340</v>
      </c>
      <c r="F149" s="2" t="s">
        <v>14</v>
      </c>
      <c r="G149" s="3" t="n">
        <v>1112</v>
      </c>
      <c r="H149" s="2" t="s">
        <v>15</v>
      </c>
      <c r="I149" s="2" t="n">
        <v>1000</v>
      </c>
      <c r="J149" s="4" t="n">
        <f aca="false">IFERROR(E149*I149/D149,"")</f>
        <v>1112.18819612739</v>
      </c>
      <c r="K149" s="5" t="n">
        <f aca="false">IFERROR((J149-G149)/G149,"")</f>
        <v>0.000169241121753419</v>
      </c>
      <c r="L149" s="2" t="str">
        <f aca="false">IF(K149="","",IF(ABS(K149)&gt;0.05,"CHECK","OK"))</f>
        <v>OK</v>
      </c>
    </row>
    <row r="150" customFormat="false" ht="15" hidden="false" customHeight="false" outlineLevel="0" collapsed="false">
      <c r="A150" s="2" t="s">
        <v>31</v>
      </c>
      <c r="B150" s="2" t="n">
        <v>1979</v>
      </c>
      <c r="C150" s="2" t="s">
        <v>77</v>
      </c>
      <c r="D150" s="3" t="n">
        <v>721060</v>
      </c>
      <c r="E150" s="3" t="n">
        <v>652618</v>
      </c>
      <c r="F150" s="2" t="s">
        <v>14</v>
      </c>
      <c r="G150" s="3" t="n">
        <v>905</v>
      </c>
      <c r="H150" s="2" t="s">
        <v>15</v>
      </c>
      <c r="I150" s="2" t="n">
        <v>1000</v>
      </c>
      <c r="J150" s="4" t="n">
        <f aca="false">IFERROR(E150*I150/D150,"")</f>
        <v>905.081407927218</v>
      </c>
      <c r="K150" s="5" t="n">
        <f aca="false">IFERROR((J150-G150)/G150,"")</f>
        <v>8.99535107384147E-005</v>
      </c>
      <c r="L150" s="2" t="str">
        <f aca="false">IF(K150="","",IF(ABS(K150)&gt;0.05,"CHECK","OK"))</f>
        <v>OK</v>
      </c>
    </row>
    <row r="151" customFormat="false" ht="15" hidden="false" customHeight="false" outlineLevel="0" collapsed="false">
      <c r="A151" s="2" t="s">
        <v>31</v>
      </c>
      <c r="B151" s="2" t="n">
        <v>1979</v>
      </c>
      <c r="C151" s="2" t="s">
        <v>78</v>
      </c>
      <c r="D151" s="3" t="n">
        <v>370170</v>
      </c>
      <c r="E151" s="3" t="n">
        <v>329080</v>
      </c>
      <c r="F151" s="2" t="s">
        <v>14</v>
      </c>
      <c r="G151" s="3" t="n">
        <v>889</v>
      </c>
      <c r="H151" s="2" t="s">
        <v>15</v>
      </c>
      <c r="I151" s="2" t="n">
        <v>1000</v>
      </c>
      <c r="J151" s="4" t="n">
        <f aca="false">IFERROR(E151*I151/D151,"")</f>
        <v>888.996947348516</v>
      </c>
      <c r="K151" s="5" t="n">
        <f aca="false">IFERROR((J151-G151)/G151,"")</f>
        <v>-3.43380369459513E-006</v>
      </c>
      <c r="L151" s="2" t="str">
        <f aca="false">IF(K151="","",IF(ABS(K151)&gt;0.05,"CHECK","OK"))</f>
        <v>OK</v>
      </c>
    </row>
    <row r="152" customFormat="false" ht="15" hidden="false" customHeight="false" outlineLevel="0" collapsed="false">
      <c r="A152" s="2" t="s">
        <v>32</v>
      </c>
      <c r="B152" s="2" t="n">
        <v>1980</v>
      </c>
      <c r="C152" s="2" t="s">
        <v>77</v>
      </c>
      <c r="D152" s="3" t="n">
        <v>591399</v>
      </c>
      <c r="E152" s="3" t="n">
        <v>450630</v>
      </c>
      <c r="F152" s="2" t="s">
        <v>14</v>
      </c>
      <c r="G152" s="3" t="n">
        <v>762</v>
      </c>
      <c r="H152" s="2" t="s">
        <v>15</v>
      </c>
      <c r="I152" s="2" t="n">
        <v>1000</v>
      </c>
      <c r="J152" s="4" t="n">
        <f aca="false">IFERROR(E152*I152/D152,"")</f>
        <v>761.972881252758</v>
      </c>
      <c r="K152" s="5" t="n">
        <f aca="false">IFERROR((J152-G152)/G152,"")</f>
        <v>-3.55889071413774E-005</v>
      </c>
      <c r="L152" s="2" t="str">
        <f aca="false">IF(K152="","",IF(ABS(K152)&gt;0.05,"CHECK","OK"))</f>
        <v>OK</v>
      </c>
    </row>
    <row r="153" customFormat="false" ht="15" hidden="false" customHeight="false" outlineLevel="0" collapsed="false">
      <c r="A153" s="2" t="s">
        <v>32</v>
      </c>
      <c r="B153" s="2" t="n">
        <v>1980</v>
      </c>
      <c r="C153" s="2" t="s">
        <v>78</v>
      </c>
      <c r="D153" s="3" t="n">
        <v>327816</v>
      </c>
      <c r="E153" s="3" t="n">
        <v>263950</v>
      </c>
      <c r="F153" s="2" t="s">
        <v>14</v>
      </c>
      <c r="G153" s="3" t="n">
        <v>805</v>
      </c>
      <c r="H153" s="2" t="s">
        <v>15</v>
      </c>
      <c r="I153" s="2" t="n">
        <v>1000</v>
      </c>
      <c r="J153" s="4" t="n">
        <f aca="false">IFERROR(E153*I153/D153,"")</f>
        <v>805.177294579886</v>
      </c>
      <c r="K153" s="5" t="n">
        <f aca="false">IFERROR((J153-G153)/G153,"")</f>
        <v>0.000220241714144446</v>
      </c>
      <c r="L153" s="2" t="str">
        <f aca="false">IF(K153="","",IF(ABS(K153)&gt;0.05,"CHECK","OK"))</f>
        <v>OK</v>
      </c>
    </row>
    <row r="154" customFormat="false" ht="15" hidden="false" customHeight="false" outlineLevel="0" collapsed="false">
      <c r="A154" s="2" t="s">
        <v>33</v>
      </c>
      <c r="B154" s="2" t="n">
        <v>1981</v>
      </c>
      <c r="C154" s="2" t="s">
        <v>77</v>
      </c>
      <c r="D154" s="3" t="n">
        <v>703013</v>
      </c>
      <c r="E154" s="3" t="n">
        <v>551880</v>
      </c>
      <c r="F154" s="2" t="s">
        <v>14</v>
      </c>
      <c r="G154" s="3" t="n">
        <v>785</v>
      </c>
      <c r="H154" s="2" t="s">
        <v>15</v>
      </c>
      <c r="I154" s="2" t="n">
        <v>1000</v>
      </c>
      <c r="J154" s="4" t="n">
        <f aca="false">IFERROR(E154*I154/D154,"")</f>
        <v>785.021045130033</v>
      </c>
      <c r="K154" s="5" t="n">
        <f aca="false">IFERROR((J154-G154)/G154,"")</f>
        <v>2.68090828447697E-005</v>
      </c>
      <c r="L154" s="2" t="str">
        <f aca="false">IF(K154="","",IF(ABS(K154)&gt;0.05,"CHECK","OK"))</f>
        <v>OK</v>
      </c>
    </row>
    <row r="155" customFormat="false" ht="15" hidden="false" customHeight="false" outlineLevel="0" collapsed="false">
      <c r="A155" s="2" t="s">
        <v>33</v>
      </c>
      <c r="B155" s="2" t="n">
        <v>1981</v>
      </c>
      <c r="C155" s="2" t="s">
        <v>78</v>
      </c>
      <c r="D155" s="3" t="n">
        <v>336473</v>
      </c>
      <c r="E155" s="3" t="n">
        <v>310130</v>
      </c>
      <c r="F155" s="2" t="s">
        <v>14</v>
      </c>
      <c r="G155" s="3" t="n">
        <v>922</v>
      </c>
      <c r="H155" s="2" t="s">
        <v>15</v>
      </c>
      <c r="I155" s="2" t="n">
        <v>1000</v>
      </c>
      <c r="J155" s="4" t="n">
        <f aca="false">IFERROR(E155*I155/D155,"")</f>
        <v>921.708428313713</v>
      </c>
      <c r="K155" s="5" t="n">
        <f aca="false">IFERROR((J155-G155)/G155,"")</f>
        <v>-0.000316238271460769</v>
      </c>
      <c r="L155" s="2" t="str">
        <f aca="false">IF(K155="","",IF(ABS(K155)&gt;0.05,"CHECK","OK"))</f>
        <v>OK</v>
      </c>
    </row>
    <row r="156" customFormat="false" ht="15" hidden="false" customHeight="false" outlineLevel="0" collapsed="false">
      <c r="A156" s="2" t="s">
        <v>34</v>
      </c>
      <c r="B156" s="2" t="n">
        <v>1982</v>
      </c>
      <c r="C156" s="2" t="s">
        <v>77</v>
      </c>
      <c r="D156" s="3" t="n">
        <v>673075</v>
      </c>
      <c r="E156" s="3" t="n">
        <v>405270</v>
      </c>
      <c r="F156" s="2" t="s">
        <v>14</v>
      </c>
      <c r="G156" s="3" t="n">
        <v>602</v>
      </c>
      <c r="H156" s="2" t="s">
        <v>15</v>
      </c>
      <c r="I156" s="2" t="n">
        <v>1000</v>
      </c>
      <c r="J156" s="4" t="n">
        <f aca="false">IFERROR(E156*I156/D156,"")</f>
        <v>602.11714890614</v>
      </c>
      <c r="K156" s="5" t="n">
        <f aca="false">IFERROR((J156-G156)/G156,"")</f>
        <v>0.000194599511860021</v>
      </c>
      <c r="L156" s="2" t="str">
        <f aca="false">IF(K156="","",IF(ABS(K156)&gt;0.05,"CHECK","OK"))</f>
        <v>OK</v>
      </c>
    </row>
    <row r="157" customFormat="false" ht="15" hidden="false" customHeight="false" outlineLevel="0" collapsed="false">
      <c r="A157" s="2" t="s">
        <v>34</v>
      </c>
      <c r="B157" s="2" t="n">
        <v>1982</v>
      </c>
      <c r="C157" s="2" t="s">
        <v>78</v>
      </c>
      <c r="D157" s="3" t="n">
        <v>295778</v>
      </c>
      <c r="E157" s="3" t="n">
        <v>207660</v>
      </c>
      <c r="F157" s="2" t="s">
        <v>14</v>
      </c>
      <c r="G157" s="3" t="n">
        <v>702</v>
      </c>
      <c r="H157" s="2" t="s">
        <v>15</v>
      </c>
      <c r="I157" s="2" t="n">
        <v>1000</v>
      </c>
      <c r="J157" s="4" t="n">
        <f aca="false">IFERROR(E157*I157/D157,"")</f>
        <v>702.08061451494</v>
      </c>
      <c r="K157" s="5" t="n">
        <f aca="false">IFERROR((J157-G157)/G157,"")</f>
        <v>0.00011483549136794</v>
      </c>
      <c r="L157" s="2" t="str">
        <f aca="false">IF(K157="","",IF(ABS(K157)&gt;0.05,"CHECK","OK"))</f>
        <v>OK</v>
      </c>
    </row>
    <row r="158" customFormat="false" ht="15" hidden="false" customHeight="false" outlineLevel="0" collapsed="false">
      <c r="A158" s="2" t="s">
        <v>35</v>
      </c>
      <c r="B158" s="2" t="n">
        <v>1983</v>
      </c>
      <c r="C158" s="2" t="s">
        <v>77</v>
      </c>
      <c r="D158" s="3" t="n">
        <v>775387</v>
      </c>
      <c r="E158" s="3" t="n">
        <v>527570</v>
      </c>
      <c r="F158" s="2" t="s">
        <v>14</v>
      </c>
      <c r="G158" s="3" t="n">
        <v>680</v>
      </c>
      <c r="H158" s="2" t="s">
        <v>15</v>
      </c>
      <c r="I158" s="2" t="n">
        <v>1000</v>
      </c>
      <c r="J158" s="4" t="n">
        <f aca="false">IFERROR(E158*I158/D158,"")</f>
        <v>680.395724973465</v>
      </c>
      <c r="K158" s="5" t="n">
        <f aca="false">IFERROR((J158-G158)/G158,"")</f>
        <v>0.00058194849038955</v>
      </c>
      <c r="L158" s="2" t="str">
        <f aca="false">IF(K158="","",IF(ABS(K158)&gt;0.05,"CHECK","OK"))</f>
        <v>OK</v>
      </c>
    </row>
    <row r="159" customFormat="false" ht="15" hidden="false" customHeight="false" outlineLevel="0" collapsed="false">
      <c r="A159" s="2" t="s">
        <v>35</v>
      </c>
      <c r="B159" s="2" t="n">
        <v>1983</v>
      </c>
      <c r="C159" s="2" t="s">
        <v>78</v>
      </c>
      <c r="D159" s="3" t="n">
        <v>343715</v>
      </c>
      <c r="E159" s="3" t="n">
        <v>321030</v>
      </c>
      <c r="F159" s="2" t="s">
        <v>14</v>
      </c>
      <c r="G159" s="3" t="n">
        <v>934</v>
      </c>
      <c r="H159" s="2" t="s">
        <v>15</v>
      </c>
      <c r="I159" s="2" t="n">
        <v>1000</v>
      </c>
      <c r="J159" s="4" t="n">
        <f aca="false">IFERROR(E159*I159/D159,"")</f>
        <v>934.000552783556</v>
      </c>
      <c r="K159" s="5" t="n">
        <f aca="false">IFERROR((J159-G159)/G159,"")</f>
        <v>5.91845349191849E-007</v>
      </c>
      <c r="L159" s="2" t="str">
        <f aca="false">IF(K159="","",IF(ABS(K159)&gt;0.05,"CHECK","OK"))</f>
        <v>OK</v>
      </c>
    </row>
    <row r="160" customFormat="false" ht="15" hidden="false" customHeight="false" outlineLevel="0" collapsed="false">
      <c r="A160" s="2" t="s">
        <v>36</v>
      </c>
      <c r="B160" s="2" t="n">
        <v>1984</v>
      </c>
      <c r="C160" s="2" t="s">
        <v>77</v>
      </c>
      <c r="D160" s="3" t="n">
        <v>686505</v>
      </c>
      <c r="E160" s="3" t="n">
        <v>525940</v>
      </c>
      <c r="F160" s="2" t="s">
        <v>14</v>
      </c>
      <c r="G160" s="3" t="n">
        <v>766</v>
      </c>
      <c r="H160" s="2" t="s">
        <v>15</v>
      </c>
      <c r="I160" s="2" t="n">
        <v>1000</v>
      </c>
      <c r="J160" s="4" t="n">
        <f aca="false">IFERROR(E160*I160/D160,"")</f>
        <v>766.112409960598</v>
      </c>
      <c r="K160" s="5" t="n">
        <f aca="false">IFERROR((J160-G160)/G160,"")</f>
        <v>0.000146749295819288</v>
      </c>
      <c r="L160" s="2" t="str">
        <f aca="false">IF(K160="","",IF(ABS(K160)&gt;0.05,"CHECK","OK"))</f>
        <v>OK</v>
      </c>
    </row>
    <row r="161" customFormat="false" ht="15" hidden="false" customHeight="false" outlineLevel="0" collapsed="false">
      <c r="A161" s="2" t="s">
        <v>36</v>
      </c>
      <c r="B161" s="2" t="n">
        <v>1984</v>
      </c>
      <c r="C161" s="2" t="s">
        <v>78</v>
      </c>
      <c r="D161" s="3" t="n">
        <v>322294</v>
      </c>
      <c r="E161" s="3" t="n">
        <v>319740</v>
      </c>
      <c r="F161" s="2" t="s">
        <v>14</v>
      </c>
      <c r="G161" s="3" t="n">
        <v>992</v>
      </c>
      <c r="H161" s="2" t="s">
        <v>15</v>
      </c>
      <c r="I161" s="2" t="n">
        <v>1000</v>
      </c>
      <c r="J161" s="4" t="n">
        <f aca="false">IFERROR(E161*I161/D161,"")</f>
        <v>992.075558341142</v>
      </c>
      <c r="K161" s="5" t="n">
        <f aca="false">IFERROR((J161-G161)/G161,"")</f>
        <v>7.61676826027357E-005</v>
      </c>
      <c r="L161" s="2" t="str">
        <f aca="false">IF(K161="","",IF(ABS(K161)&gt;0.05,"CHECK","OK"))</f>
        <v>OK</v>
      </c>
    </row>
    <row r="162" customFormat="false" ht="15" hidden="false" customHeight="false" outlineLevel="0" collapsed="false">
      <c r="A162" s="2" t="s">
        <v>37</v>
      </c>
      <c r="B162" s="2" t="n">
        <v>1985</v>
      </c>
      <c r="C162" s="2" t="s">
        <v>77</v>
      </c>
      <c r="D162" s="3" t="n">
        <v>732602</v>
      </c>
      <c r="E162" s="3" t="n">
        <v>774550</v>
      </c>
      <c r="F162" s="2" t="s">
        <v>14</v>
      </c>
      <c r="G162" s="3" t="n">
        <v>1057</v>
      </c>
      <c r="H162" s="2" t="s">
        <v>15</v>
      </c>
      <c r="I162" s="2" t="n">
        <v>1000</v>
      </c>
      <c r="J162" s="4" t="n">
        <f aca="false">IFERROR(E162*I162/D162,"")</f>
        <v>1057.25892094207</v>
      </c>
      <c r="K162" s="5" t="n">
        <f aca="false">IFERROR((J162-G162)/G162,"")</f>
        <v>0.000244958317944068</v>
      </c>
      <c r="L162" s="2" t="str">
        <f aca="false">IF(K162="","",IF(ABS(K162)&gt;0.05,"CHECK","OK"))</f>
        <v>OK</v>
      </c>
    </row>
    <row r="163" customFormat="false" ht="15" hidden="false" customHeight="false" outlineLevel="0" collapsed="false">
      <c r="A163" s="2" t="s">
        <v>37</v>
      </c>
      <c r="B163" s="2" t="n">
        <v>1985</v>
      </c>
      <c r="C163" s="2" t="s">
        <v>78</v>
      </c>
      <c r="D163" s="3" t="n">
        <v>305982</v>
      </c>
      <c r="E163" s="3" t="n">
        <v>371640</v>
      </c>
      <c r="F163" s="2" t="s">
        <v>14</v>
      </c>
      <c r="G163" s="3" t="n">
        <v>1215</v>
      </c>
      <c r="H163" s="2" t="s">
        <v>15</v>
      </c>
      <c r="I163" s="2" t="n">
        <v>1000</v>
      </c>
      <c r="J163" s="4" t="n">
        <f aca="false">IFERROR(E163*I163/D163,"")</f>
        <v>1214.58124987744</v>
      </c>
      <c r="K163" s="5" t="n">
        <f aca="false">IFERROR((J163-G163)/G163,"")</f>
        <v>-0.000344650306630679</v>
      </c>
      <c r="L163" s="2" t="str">
        <f aca="false">IF(K163="","",IF(ABS(K163)&gt;0.05,"CHECK","OK"))</f>
        <v>OK</v>
      </c>
    </row>
    <row r="164" customFormat="false" ht="15" hidden="false" customHeight="false" outlineLevel="0" collapsed="false">
      <c r="A164" s="2" t="s">
        <v>38</v>
      </c>
      <c r="B164" s="2" t="n">
        <v>1986</v>
      </c>
      <c r="C164" s="2" t="s">
        <v>77</v>
      </c>
      <c r="D164" s="3" t="n">
        <v>730352</v>
      </c>
      <c r="E164" s="3" t="n">
        <v>658480</v>
      </c>
      <c r="F164" s="2" t="s">
        <v>14</v>
      </c>
      <c r="G164" s="3" t="n">
        <v>902</v>
      </c>
      <c r="H164" s="2" t="s">
        <v>15</v>
      </c>
      <c r="I164" s="2" t="n">
        <v>1000</v>
      </c>
      <c r="J164" s="4" t="n">
        <f aca="false">IFERROR(E164*I164/D164,"")</f>
        <v>901.592656691568</v>
      </c>
      <c r="K164" s="5" t="n">
        <f aca="false">IFERROR((J164-G164)/G164,"")</f>
        <v>-0.000451600120213007</v>
      </c>
      <c r="L164" s="2" t="str">
        <f aca="false">IF(K164="","",IF(ABS(K164)&gt;0.05,"CHECK","OK"))</f>
        <v>OK</v>
      </c>
    </row>
    <row r="165" customFormat="false" ht="15" hidden="false" customHeight="false" outlineLevel="0" collapsed="false">
      <c r="A165" s="2" t="s">
        <v>38</v>
      </c>
      <c r="B165" s="2" t="n">
        <v>1986</v>
      </c>
      <c r="C165" s="2" t="s">
        <v>78</v>
      </c>
      <c r="D165" s="3" t="n">
        <v>298301</v>
      </c>
      <c r="E165" s="3" t="n">
        <v>281080</v>
      </c>
      <c r="F165" s="2" t="s">
        <v>14</v>
      </c>
      <c r="G165" s="3" t="n">
        <v>942</v>
      </c>
      <c r="H165" s="2" t="s">
        <v>15</v>
      </c>
      <c r="I165" s="2" t="n">
        <v>1000</v>
      </c>
      <c r="J165" s="4" t="n">
        <f aca="false">IFERROR(E165*I165/D165,"")</f>
        <v>942.269720852428</v>
      </c>
      <c r="K165" s="5" t="n">
        <f aca="false">IFERROR((J165-G165)/G165,"")</f>
        <v>0.000286327868819059</v>
      </c>
      <c r="L165" s="2" t="str">
        <f aca="false">IF(K165="","",IF(ABS(K165)&gt;0.05,"CHECK","OK"))</f>
        <v>OK</v>
      </c>
    </row>
    <row r="166" customFormat="false" ht="15" hidden="false" customHeight="false" outlineLevel="0" collapsed="false">
      <c r="A166" s="2" t="s">
        <v>39</v>
      </c>
      <c r="B166" s="2" t="n">
        <v>1987</v>
      </c>
      <c r="C166" s="2" t="s">
        <v>77</v>
      </c>
      <c r="D166" s="3" t="n">
        <v>688532</v>
      </c>
      <c r="E166" s="3" t="n">
        <v>700110</v>
      </c>
      <c r="F166" s="2" t="s">
        <v>14</v>
      </c>
      <c r="G166" s="3" t="n">
        <v>1017</v>
      </c>
      <c r="H166" s="2" t="s">
        <v>15</v>
      </c>
      <c r="I166" s="2" t="n">
        <v>1000</v>
      </c>
      <c r="J166" s="4" t="n">
        <f aca="false">IFERROR(E166*I166/D166,"")</f>
        <v>1016.81548570001</v>
      </c>
      <c r="K166" s="5" t="n">
        <f aca="false">IFERROR((J166-G166)/G166,"")</f>
        <v>-0.00018142999015636</v>
      </c>
      <c r="L166" s="2" t="str">
        <f aca="false">IF(K166="","",IF(ABS(K166)&gt;0.05,"CHECK","OK"))</f>
        <v>OK</v>
      </c>
    </row>
    <row r="167" customFormat="false" ht="15" hidden="false" customHeight="false" outlineLevel="0" collapsed="false">
      <c r="A167" s="2" t="s">
        <v>39</v>
      </c>
      <c r="B167" s="2" t="n">
        <v>1987</v>
      </c>
      <c r="C167" s="2" t="s">
        <v>78</v>
      </c>
      <c r="D167" s="3" t="n">
        <v>292674</v>
      </c>
      <c r="E167" s="3" t="n">
        <v>314760</v>
      </c>
      <c r="F167" s="2" t="s">
        <v>14</v>
      </c>
      <c r="G167" s="3" t="n">
        <v>1075</v>
      </c>
      <c r="H167" s="2" t="s">
        <v>15</v>
      </c>
      <c r="I167" s="2" t="n">
        <v>1000</v>
      </c>
      <c r="J167" s="4" t="n">
        <f aca="false">IFERROR(E167*I167/D167,"")</f>
        <v>1075.46280161545</v>
      </c>
      <c r="K167" s="5" t="n">
        <f aca="false">IFERROR((J167-G167)/G167,"")</f>
        <v>0.000430513130650493</v>
      </c>
      <c r="L167" s="2" t="str">
        <f aca="false">IF(K167="","",IF(ABS(K167)&gt;0.05,"CHECK","OK"))</f>
        <v>OK</v>
      </c>
    </row>
    <row r="168" customFormat="false" ht="15" hidden="false" customHeight="false" outlineLevel="0" collapsed="false">
      <c r="A168" s="2" t="s">
        <v>40</v>
      </c>
      <c r="B168" s="2" t="n">
        <v>1988</v>
      </c>
      <c r="C168" s="2" t="s">
        <v>77</v>
      </c>
      <c r="D168" s="3" t="n">
        <v>561765</v>
      </c>
      <c r="E168" s="3" t="n">
        <v>556610</v>
      </c>
      <c r="F168" s="2" t="s">
        <v>14</v>
      </c>
      <c r="G168" s="3" t="n">
        <v>991</v>
      </c>
      <c r="H168" s="2" t="s">
        <v>15</v>
      </c>
      <c r="I168" s="2" t="n">
        <v>1000</v>
      </c>
      <c r="J168" s="4" t="n">
        <f aca="false">IFERROR(E168*I168/D168,"")</f>
        <v>990.82356501384</v>
      </c>
      <c r="K168" s="5" t="n">
        <f aca="false">IFERROR((J168-G168)/G168,"")</f>
        <v>-0.000178037322058258</v>
      </c>
      <c r="L168" s="2" t="str">
        <f aca="false">IF(K168="","",IF(ABS(K168)&gt;0.05,"CHECK","OK"))</f>
        <v>OK</v>
      </c>
    </row>
    <row r="169" customFormat="false" ht="15" hidden="false" customHeight="false" outlineLevel="0" collapsed="false">
      <c r="A169" s="2" t="s">
        <v>40</v>
      </c>
      <c r="B169" s="2" t="n">
        <v>1988</v>
      </c>
      <c r="C169" s="2" t="s">
        <v>78</v>
      </c>
      <c r="D169" s="3" t="n">
        <v>270553</v>
      </c>
      <c r="E169" s="3" t="n">
        <v>304400</v>
      </c>
      <c r="F169" s="2" t="s">
        <v>14</v>
      </c>
      <c r="G169" s="3" t="n">
        <v>1125</v>
      </c>
      <c r="H169" s="2" t="s">
        <v>15</v>
      </c>
      <c r="I169" s="2" t="n">
        <v>1000</v>
      </c>
      <c r="J169" s="4" t="n">
        <f aca="false">IFERROR(E169*I169/D169,"")</f>
        <v>1125.10302972061</v>
      </c>
      <c r="K169" s="5" t="n">
        <f aca="false">IFERROR((J169-G169)/G169,"")</f>
        <v>9.15819738749835E-005</v>
      </c>
      <c r="L169" s="2" t="str">
        <f aca="false">IF(K169="","",IF(ABS(K169)&gt;0.05,"CHECK","OK"))</f>
        <v>OK</v>
      </c>
    </row>
    <row r="170" customFormat="false" ht="15" hidden="false" customHeight="false" outlineLevel="0" collapsed="false">
      <c r="A170" s="2" t="s">
        <v>41</v>
      </c>
      <c r="B170" s="2" t="n">
        <v>1989</v>
      </c>
      <c r="C170" s="2" t="s">
        <v>77</v>
      </c>
      <c r="D170" s="3" t="n">
        <v>586811</v>
      </c>
      <c r="E170" s="3" t="n">
        <v>694850</v>
      </c>
      <c r="F170" s="2" t="s">
        <v>14</v>
      </c>
      <c r="G170" s="3" t="n">
        <v>1184</v>
      </c>
      <c r="H170" s="2" t="s">
        <v>15</v>
      </c>
      <c r="I170" s="2" t="n">
        <v>1000</v>
      </c>
      <c r="J170" s="4" t="n">
        <f aca="false">IFERROR(E170*I170/D170,"")</f>
        <v>1184.11209060498</v>
      </c>
      <c r="K170" s="5" t="n">
        <f aca="false">IFERROR((J170-G170)/G170,"")</f>
        <v>9.46711190725157E-005</v>
      </c>
      <c r="L170" s="2" t="str">
        <f aca="false">IF(K170="","",IF(ABS(K170)&gt;0.05,"CHECK","OK"))</f>
        <v>OK</v>
      </c>
    </row>
    <row r="171" customFormat="false" ht="15" hidden="false" customHeight="false" outlineLevel="0" collapsed="false">
      <c r="A171" s="2" t="s">
        <v>41</v>
      </c>
      <c r="B171" s="2" t="n">
        <v>1989</v>
      </c>
      <c r="C171" s="2" t="s">
        <v>78</v>
      </c>
      <c r="D171" s="3" t="n">
        <v>261453</v>
      </c>
      <c r="E171" s="3" t="n">
        <v>290760</v>
      </c>
      <c r="F171" s="2" t="s">
        <v>14</v>
      </c>
      <c r="G171" s="3" t="n">
        <v>1112</v>
      </c>
      <c r="H171" s="2" t="s">
        <v>15</v>
      </c>
      <c r="I171" s="2" t="n">
        <v>1000</v>
      </c>
      <c r="J171" s="4" t="n">
        <f aca="false">IFERROR(E171*I171/D171,"")</f>
        <v>1112.09280444286</v>
      </c>
      <c r="K171" s="5" t="n">
        <f aca="false">IFERROR((J171-G171)/G171,"")</f>
        <v>8.3457232790965E-005</v>
      </c>
      <c r="L171" s="2" t="str">
        <f aca="false">IF(K171="","",IF(ABS(K171)&gt;0.05,"CHECK","OK"))</f>
        <v>OK</v>
      </c>
    </row>
    <row r="172" customFormat="false" ht="15" hidden="false" customHeight="false" outlineLevel="0" collapsed="false">
      <c r="A172" s="2" t="s">
        <v>42</v>
      </c>
      <c r="B172" s="2" t="n">
        <v>1990</v>
      </c>
      <c r="C172" s="2" t="s">
        <v>77</v>
      </c>
      <c r="D172" s="3" t="n">
        <v>541074</v>
      </c>
      <c r="E172" s="3" t="n">
        <v>548840</v>
      </c>
      <c r="F172" s="2" t="s">
        <v>14</v>
      </c>
      <c r="G172" s="3" t="n">
        <v>1014</v>
      </c>
      <c r="H172" s="2" t="s">
        <v>15</v>
      </c>
      <c r="I172" s="2" t="n">
        <v>1000</v>
      </c>
      <c r="J172" s="4" t="n">
        <f aca="false">IFERROR(E172*I172/D172,"")</f>
        <v>1014.35293508836</v>
      </c>
      <c r="K172" s="5" t="n">
        <f aca="false">IFERROR((J172-G172)/G172,"")</f>
        <v>0.000348062217318814</v>
      </c>
      <c r="L172" s="2" t="str">
        <f aca="false">IF(K172="","",IF(ABS(K172)&gt;0.05,"CHECK","OK"))</f>
        <v>OK</v>
      </c>
    </row>
    <row r="173" customFormat="false" ht="15" hidden="false" customHeight="false" outlineLevel="0" collapsed="false">
      <c r="A173" s="2" t="s">
        <v>42</v>
      </c>
      <c r="B173" s="2" t="n">
        <v>1990</v>
      </c>
      <c r="C173" s="2" t="s">
        <v>78</v>
      </c>
      <c r="D173" s="3" t="n">
        <v>274059</v>
      </c>
      <c r="E173" s="3" t="n">
        <v>296270</v>
      </c>
      <c r="F173" s="2" t="s">
        <v>14</v>
      </c>
      <c r="G173" s="3" t="n">
        <v>1081</v>
      </c>
      <c r="H173" s="2" t="s">
        <v>15</v>
      </c>
      <c r="I173" s="2" t="n">
        <v>1000</v>
      </c>
      <c r="J173" s="4" t="n">
        <f aca="false">IFERROR(E173*I173/D173,"")</f>
        <v>1081.04459258773</v>
      </c>
      <c r="K173" s="5" t="n">
        <f aca="false">IFERROR((J173-G173)/G173,"")</f>
        <v>4.12512374907429E-005</v>
      </c>
      <c r="L173" s="2" t="str">
        <f aca="false">IF(K173="","",IF(ABS(K173)&gt;0.05,"CHECK","OK"))</f>
        <v>OK</v>
      </c>
    </row>
    <row r="174" customFormat="false" ht="15" hidden="false" customHeight="false" outlineLevel="0" collapsed="false">
      <c r="A174" s="2" t="s">
        <v>43</v>
      </c>
      <c r="B174" s="2" t="n">
        <v>1991</v>
      </c>
      <c r="C174" s="2" t="s">
        <v>77</v>
      </c>
      <c r="D174" s="3" t="n">
        <v>511750</v>
      </c>
      <c r="E174" s="3" t="n">
        <v>552610</v>
      </c>
      <c r="F174" s="2" t="s">
        <v>14</v>
      </c>
      <c r="G174" s="3" t="n">
        <v>1080</v>
      </c>
      <c r="H174" s="2" t="s">
        <v>15</v>
      </c>
      <c r="I174" s="2" t="n">
        <v>1000</v>
      </c>
      <c r="J174" s="4" t="n">
        <f aca="false">IFERROR(E174*I174/D174,"")</f>
        <v>1079.84367366878</v>
      </c>
      <c r="K174" s="5" t="n">
        <f aca="false">IFERROR((J174-G174)/G174,"")</f>
        <v>-0.000144746602978153</v>
      </c>
      <c r="L174" s="2" t="str">
        <f aca="false">IF(K174="","",IF(ABS(K174)&gt;0.05,"CHECK","OK"))</f>
        <v>OK</v>
      </c>
    </row>
    <row r="175" customFormat="false" ht="15" hidden="false" customHeight="false" outlineLevel="0" collapsed="false">
      <c r="A175" s="2" t="s">
        <v>43</v>
      </c>
      <c r="B175" s="2" t="n">
        <v>1991</v>
      </c>
      <c r="C175" s="2" t="s">
        <v>78</v>
      </c>
      <c r="D175" s="3" t="n">
        <v>246020</v>
      </c>
      <c r="E175" s="3" t="n">
        <v>271650</v>
      </c>
      <c r="F175" s="2" t="s">
        <v>14</v>
      </c>
      <c r="G175" s="3" t="n">
        <v>1104</v>
      </c>
      <c r="H175" s="2" t="s">
        <v>15</v>
      </c>
      <c r="I175" s="2" t="n">
        <v>1000</v>
      </c>
      <c r="J175" s="4" t="n">
        <f aca="false">IFERROR(E175*I175/D175,"")</f>
        <v>1104.17852207138</v>
      </c>
      <c r="K175" s="5" t="n">
        <f aca="false">IFERROR((J175-G175)/G175,"")</f>
        <v>0.000161704774797457</v>
      </c>
      <c r="L175" s="2" t="str">
        <f aca="false">IF(K175="","",IF(ABS(K175)&gt;0.05,"CHECK","OK"))</f>
        <v>OK</v>
      </c>
    </row>
    <row r="176" customFormat="false" ht="15" hidden="false" customHeight="false" outlineLevel="0" collapsed="false">
      <c r="A176" s="2" t="s">
        <v>44</v>
      </c>
      <c r="B176" s="2" t="n">
        <v>1992</v>
      </c>
      <c r="C176" s="2" t="s">
        <v>77</v>
      </c>
      <c r="D176" s="3" t="n">
        <v>484223</v>
      </c>
      <c r="E176" s="3" t="n">
        <v>486170</v>
      </c>
      <c r="F176" s="2" t="s">
        <v>14</v>
      </c>
      <c r="G176" s="3" t="n">
        <v>1006</v>
      </c>
      <c r="H176" s="2" t="s">
        <v>15</v>
      </c>
      <c r="I176" s="2" t="n">
        <v>1000</v>
      </c>
      <c r="J176" s="4" t="n">
        <f aca="false">IFERROR(E176*I176/D176,"")</f>
        <v>1004.02087467964</v>
      </c>
      <c r="K176" s="5" t="n">
        <f aca="false">IFERROR((J176-G176)/G176,"")</f>
        <v>-0.00196732139200651</v>
      </c>
      <c r="L176" s="2" t="str">
        <f aca="false">IF(K176="","",IF(ABS(K176)&gt;0.05,"CHECK","OK"))</f>
        <v>OK</v>
      </c>
    </row>
    <row r="177" customFormat="false" ht="15" hidden="false" customHeight="false" outlineLevel="0" collapsed="false">
      <c r="A177" s="2" t="s">
        <v>44</v>
      </c>
      <c r="B177" s="2" t="n">
        <v>1992</v>
      </c>
      <c r="C177" s="2" t="s">
        <v>78</v>
      </c>
      <c r="D177" s="3" t="n">
        <v>219554</v>
      </c>
      <c r="E177" s="3" t="n">
        <v>251230</v>
      </c>
      <c r="F177" s="2" t="s">
        <v>14</v>
      </c>
      <c r="G177" s="3" t="n">
        <v>1144</v>
      </c>
      <c r="H177" s="2" t="s">
        <v>15</v>
      </c>
      <c r="I177" s="2" t="n">
        <v>1000</v>
      </c>
      <c r="J177" s="4" t="n">
        <f aca="false">IFERROR(E177*I177/D177,"")</f>
        <v>1144.27430153857</v>
      </c>
      <c r="K177" s="5" t="n">
        <f aca="false">IFERROR((J177-G177)/G177,"")</f>
        <v>0.000239774072179704</v>
      </c>
      <c r="L177" s="2" t="str">
        <f aca="false">IF(K177="","",IF(ABS(K177)&gt;0.05,"CHECK","OK"))</f>
        <v>OK</v>
      </c>
    </row>
    <row r="178" customFormat="false" ht="15" hidden="false" customHeight="false" outlineLevel="0" collapsed="false">
      <c r="A178" s="2" t="s">
        <v>45</v>
      </c>
      <c r="B178" s="2" t="n">
        <v>1993</v>
      </c>
      <c r="C178" s="2" t="s">
        <v>77</v>
      </c>
      <c r="D178" s="3" t="n">
        <v>506300</v>
      </c>
      <c r="E178" s="3" t="n">
        <v>486240</v>
      </c>
      <c r="F178" s="2" t="s">
        <v>14</v>
      </c>
      <c r="G178" s="3" t="n">
        <v>960</v>
      </c>
      <c r="H178" s="2" t="s">
        <v>15</v>
      </c>
      <c r="I178" s="2" t="n">
        <v>1000</v>
      </c>
      <c r="J178" s="4" t="n">
        <f aca="false">IFERROR(E178*I178/D178,"")</f>
        <v>960.379221805254</v>
      </c>
      <c r="K178" s="5" t="n">
        <f aca="false">IFERROR((J178-G178)/G178,"")</f>
        <v>0.000395022713806033</v>
      </c>
      <c r="L178" s="2" t="str">
        <f aca="false">IF(K178="","",IF(ABS(K178)&gt;0.05,"CHECK","OK"))</f>
        <v>OK</v>
      </c>
    </row>
    <row r="179" customFormat="false" ht="15" hidden="false" customHeight="false" outlineLevel="0" collapsed="false">
      <c r="A179" s="2" t="s">
        <v>45</v>
      </c>
      <c r="B179" s="2" t="n">
        <v>1993</v>
      </c>
      <c r="C179" s="2" t="s">
        <v>78</v>
      </c>
      <c r="D179" s="3" t="n">
        <v>212538</v>
      </c>
      <c r="E179" s="3" t="n">
        <v>238170</v>
      </c>
      <c r="F179" s="2" t="s">
        <v>14</v>
      </c>
      <c r="G179" s="3" t="n">
        <v>1121</v>
      </c>
      <c r="H179" s="2" t="s">
        <v>15</v>
      </c>
      <c r="I179" s="2" t="n">
        <v>1000</v>
      </c>
      <c r="J179" s="4" t="n">
        <f aca="false">IFERROR(E179*I179/D179,"")</f>
        <v>1120.59961042261</v>
      </c>
      <c r="K179" s="5" t="n">
        <f aca="false">IFERROR((J179-G179)/G179,"")</f>
        <v>-0.000357171790716591</v>
      </c>
      <c r="L179" s="2" t="str">
        <f aca="false">IF(K179="","",IF(ABS(K179)&gt;0.05,"CHECK","OK"))</f>
        <v>OK</v>
      </c>
    </row>
    <row r="180" customFormat="false" ht="15" hidden="false" customHeight="false" outlineLevel="0" collapsed="false">
      <c r="A180" s="2" t="s">
        <v>46</v>
      </c>
      <c r="B180" s="2" t="n">
        <v>1994</v>
      </c>
      <c r="C180" s="2" t="s">
        <v>77</v>
      </c>
      <c r="D180" s="3" t="n">
        <v>432047</v>
      </c>
      <c r="E180" s="3" t="n">
        <v>490040</v>
      </c>
      <c r="F180" s="2" t="s">
        <v>14</v>
      </c>
      <c r="G180" s="3" t="n">
        <v>1134</v>
      </c>
      <c r="H180" s="2" t="s">
        <v>15</v>
      </c>
      <c r="I180" s="2" t="n">
        <v>1000</v>
      </c>
      <c r="J180" s="4" t="n">
        <f aca="false">IFERROR(E180*I180/D180,"")</f>
        <v>1134.22845199712</v>
      </c>
      <c r="K180" s="5" t="n">
        <f aca="false">IFERROR((J180-G180)/G180,"")</f>
        <v>0.000201456787584304</v>
      </c>
      <c r="L180" s="2" t="str">
        <f aca="false">IF(K180="","",IF(ABS(K180)&gt;0.05,"CHECK","OK"))</f>
        <v>OK</v>
      </c>
    </row>
    <row r="181" customFormat="false" ht="15" hidden="false" customHeight="false" outlineLevel="0" collapsed="false">
      <c r="A181" s="2" t="s">
        <v>46</v>
      </c>
      <c r="B181" s="2" t="n">
        <v>1994</v>
      </c>
      <c r="C181" s="2" t="s">
        <v>78</v>
      </c>
      <c r="D181" s="3" t="n">
        <v>191945</v>
      </c>
      <c r="E181" s="3" t="n">
        <v>230850</v>
      </c>
      <c r="F181" s="2" t="s">
        <v>14</v>
      </c>
      <c r="G181" s="3" t="n">
        <v>1203</v>
      </c>
      <c r="H181" s="2" t="s">
        <v>15</v>
      </c>
      <c r="I181" s="2" t="n">
        <v>1000</v>
      </c>
      <c r="J181" s="4" t="n">
        <f aca="false">IFERROR(E181*I181/D181,"")</f>
        <v>1202.68827007737</v>
      </c>
      <c r="K181" s="5" t="n">
        <f aca="false">IFERROR((J181-G181)/G181,"")</f>
        <v>-0.000259127117734153</v>
      </c>
      <c r="L181" s="2" t="str">
        <f aca="false">IF(K181="","",IF(ABS(K181)&gt;0.05,"CHECK","OK"))</f>
        <v>OK</v>
      </c>
    </row>
    <row r="182" customFormat="false" ht="15" hidden="false" customHeight="false" outlineLevel="0" collapsed="false">
      <c r="A182" s="2" t="s">
        <v>47</v>
      </c>
      <c r="B182" s="2" t="n">
        <v>1995</v>
      </c>
      <c r="C182" s="2" t="s">
        <v>77</v>
      </c>
      <c r="D182" s="3" t="n">
        <v>383363</v>
      </c>
      <c r="E182" s="3" t="n">
        <v>329690</v>
      </c>
      <c r="F182" s="2" t="s">
        <v>14</v>
      </c>
      <c r="G182" s="3" t="n">
        <v>860</v>
      </c>
      <c r="H182" s="2" t="s">
        <v>15</v>
      </c>
      <c r="I182" s="2" t="n">
        <v>1000</v>
      </c>
      <c r="J182" s="4" t="n">
        <f aca="false">IFERROR(E182*I182/D182,"")</f>
        <v>859.994313483565</v>
      </c>
      <c r="K182" s="5" t="n">
        <f aca="false">IFERROR((J182-G182)/G182,"")</f>
        <v>-6.61222841258254E-006</v>
      </c>
      <c r="L182" s="2" t="str">
        <f aca="false">IF(K182="","",IF(ABS(K182)&gt;0.05,"CHECK","OK"))</f>
        <v>OK</v>
      </c>
    </row>
    <row r="183" customFormat="false" ht="15" hidden="false" customHeight="false" outlineLevel="0" collapsed="false">
      <c r="A183" s="2" t="s">
        <v>47</v>
      </c>
      <c r="B183" s="2" t="n">
        <v>1995</v>
      </c>
      <c r="C183" s="2" t="s">
        <v>78</v>
      </c>
      <c r="D183" s="3" t="n">
        <v>172547</v>
      </c>
      <c r="E183" s="3" t="n">
        <v>188860</v>
      </c>
      <c r="F183" s="2" t="s">
        <v>14</v>
      </c>
      <c r="G183" s="3" t="n">
        <v>1095</v>
      </c>
      <c r="H183" s="2" t="s">
        <v>15</v>
      </c>
      <c r="I183" s="2" t="n">
        <v>1000</v>
      </c>
      <c r="J183" s="4" t="n">
        <f aca="false">IFERROR(E183*I183/D183,"")</f>
        <v>1094.54235657531</v>
      </c>
      <c r="K183" s="5" t="n">
        <f aca="false">IFERROR((J183-G183)/G183,"")</f>
        <v>-0.000417939200630232</v>
      </c>
      <c r="L183" s="2" t="str">
        <f aca="false">IF(K183="","",IF(ABS(K183)&gt;0.05,"CHECK","OK"))</f>
        <v>OK</v>
      </c>
    </row>
    <row r="184" customFormat="false" ht="15" hidden="false" customHeight="false" outlineLevel="0" collapsed="false">
      <c r="A184" s="2" t="s">
        <v>48</v>
      </c>
      <c r="B184" s="2" t="n">
        <v>1996</v>
      </c>
      <c r="C184" s="2" t="s">
        <v>77</v>
      </c>
      <c r="D184" s="3" t="n">
        <v>394957</v>
      </c>
      <c r="E184" s="3" t="n">
        <v>361820</v>
      </c>
      <c r="F184" s="2" t="s">
        <v>14</v>
      </c>
      <c r="G184" s="3" t="n">
        <v>916</v>
      </c>
      <c r="H184" s="2" t="s">
        <v>15</v>
      </c>
      <c r="I184" s="2" t="n">
        <v>1000</v>
      </c>
      <c r="J184" s="4" t="n">
        <f aca="false">IFERROR(E184*I184/D184,"")</f>
        <v>916.099727312087</v>
      </c>
      <c r="K184" s="5" t="n">
        <f aca="false">IFERROR((J184-G184)/G184,"")</f>
        <v>0.000108872611448812</v>
      </c>
      <c r="L184" s="2" t="str">
        <f aca="false">IF(K184="","",IF(ABS(K184)&gt;0.05,"CHECK","OK"))</f>
        <v>OK</v>
      </c>
    </row>
    <row r="185" customFormat="false" ht="15" hidden="false" customHeight="false" outlineLevel="0" collapsed="false">
      <c r="A185" s="2" t="s">
        <v>48</v>
      </c>
      <c r="B185" s="2" t="n">
        <v>1996</v>
      </c>
      <c r="C185" s="2" t="s">
        <v>78</v>
      </c>
      <c r="D185" s="3" t="n">
        <v>164638</v>
      </c>
      <c r="E185" s="3" t="n">
        <v>194860</v>
      </c>
      <c r="F185" s="2" t="s">
        <v>14</v>
      </c>
      <c r="G185" s="3" t="n">
        <v>1184</v>
      </c>
      <c r="H185" s="2" t="s">
        <v>15</v>
      </c>
      <c r="I185" s="2" t="n">
        <v>1000</v>
      </c>
      <c r="J185" s="4" t="n">
        <f aca="false">IFERROR(E185*I185/D185,"")</f>
        <v>1183.56636985386</v>
      </c>
      <c r="K185" s="5" t="n">
        <f aca="false">IFERROR((J185-G185)/G185,"")</f>
        <v>-0.000366241677482043</v>
      </c>
      <c r="L185" s="2" t="str">
        <f aca="false">IF(K185="","",IF(ABS(K185)&gt;0.05,"CHECK","OK"))</f>
        <v>OK</v>
      </c>
    </row>
    <row r="186" customFormat="false" ht="15" hidden="false" customHeight="false" outlineLevel="0" collapsed="false">
      <c r="A186" s="2" t="s">
        <v>49</v>
      </c>
      <c r="B186" s="2" t="n">
        <v>1997</v>
      </c>
      <c r="C186" s="2" t="s">
        <v>77</v>
      </c>
      <c r="D186" s="3" t="n">
        <v>380427</v>
      </c>
      <c r="E186" s="3" t="n">
        <v>377720</v>
      </c>
      <c r="F186" s="2" t="s">
        <v>14</v>
      </c>
      <c r="G186" s="3" t="n">
        <v>993</v>
      </c>
      <c r="H186" s="2" t="s">
        <v>15</v>
      </c>
      <c r="I186" s="2" t="n">
        <v>1000</v>
      </c>
      <c r="J186" s="4" t="n">
        <f aca="false">IFERROR(E186*I186/D186,"")</f>
        <v>992.884311576203</v>
      </c>
      <c r="K186" s="5" t="n">
        <f aca="false">IFERROR((J186-G186)/G186,"")</f>
        <v>-0.000116503951457655</v>
      </c>
      <c r="L186" s="2" t="str">
        <f aca="false">IF(K186="","",IF(ABS(K186)&gt;0.05,"CHECK","OK"))</f>
        <v>OK</v>
      </c>
    </row>
    <row r="187" customFormat="false" ht="15" hidden="false" customHeight="false" outlineLevel="0" collapsed="false">
      <c r="A187" s="2" t="s">
        <v>49</v>
      </c>
      <c r="B187" s="2" t="n">
        <v>1997</v>
      </c>
      <c r="C187" s="2" t="s">
        <v>78</v>
      </c>
      <c r="D187" s="3" t="n">
        <v>168602</v>
      </c>
      <c r="E187" s="3" t="n">
        <v>211970</v>
      </c>
      <c r="F187" s="2" t="s">
        <v>14</v>
      </c>
      <c r="G187" s="3" t="n">
        <v>1257</v>
      </c>
      <c r="H187" s="2" t="s">
        <v>15</v>
      </c>
      <c r="I187" s="2" t="n">
        <v>1000</v>
      </c>
      <c r="J187" s="4" t="n">
        <f aca="false">IFERROR(E187*I187/D187,"")</f>
        <v>1257.22114802909</v>
      </c>
      <c r="K187" s="5" t="n">
        <f aca="false">IFERROR((J187-G187)/G187,"")</f>
        <v>0.000175933197363707</v>
      </c>
      <c r="L187" s="2" t="str">
        <f aca="false">IF(K187="","",IF(ABS(K187)&gt;0.05,"CHECK","OK"))</f>
        <v>OK</v>
      </c>
    </row>
    <row r="188" customFormat="false" ht="15" hidden="false" customHeight="false" outlineLevel="0" collapsed="false">
      <c r="A188" s="2" t="s">
        <v>50</v>
      </c>
      <c r="B188" s="2" t="n">
        <v>1998</v>
      </c>
      <c r="C188" s="2" t="s">
        <v>77</v>
      </c>
      <c r="D188" s="3" t="n">
        <v>364944</v>
      </c>
      <c r="E188" s="3" t="n">
        <v>369110</v>
      </c>
      <c r="F188" s="2" t="s">
        <v>14</v>
      </c>
      <c r="G188" s="3" t="n">
        <v>1011</v>
      </c>
      <c r="H188" s="2" t="s">
        <v>15</v>
      </c>
      <c r="I188" s="2" t="n">
        <v>1000</v>
      </c>
      <c r="J188" s="4" t="n">
        <f aca="false">IFERROR(E188*I188/D188,"")</f>
        <v>1011.41545004165</v>
      </c>
      <c r="K188" s="5" t="n">
        <f aca="false">IFERROR((J188-G188)/G188,"")</f>
        <v>0.000410929813699579</v>
      </c>
      <c r="L188" s="2" t="str">
        <f aca="false">IF(K188="","",IF(ABS(K188)&gt;0.05,"CHECK","OK"))</f>
        <v>OK</v>
      </c>
    </row>
    <row r="189" customFormat="false" ht="15" hidden="false" customHeight="false" outlineLevel="0" collapsed="false">
      <c r="A189" s="2" t="s">
        <v>50</v>
      </c>
      <c r="B189" s="2" t="n">
        <v>1998</v>
      </c>
      <c r="C189" s="2" t="s">
        <v>78</v>
      </c>
      <c r="D189" s="3" t="n">
        <v>153937</v>
      </c>
      <c r="E189" s="3" t="n">
        <v>206110</v>
      </c>
      <c r="F189" s="2" t="s">
        <v>14</v>
      </c>
      <c r="G189" s="3" t="n">
        <v>1339</v>
      </c>
      <c r="H189" s="2" t="s">
        <v>15</v>
      </c>
      <c r="I189" s="2" t="n">
        <v>1000</v>
      </c>
      <c r="J189" s="4" t="n">
        <f aca="false">IFERROR(E189*I189/D189,"")</f>
        <v>1338.92436516237</v>
      </c>
      <c r="K189" s="5" t="n">
        <f aca="false">IFERROR((J189-G189)/G189,"")</f>
        <v>-5.64860624557773E-005</v>
      </c>
      <c r="L189" s="2" t="str">
        <f aca="false">IF(K189="","",IF(ABS(K189)&gt;0.05,"CHECK","OK"))</f>
        <v>OK</v>
      </c>
    </row>
    <row r="190" customFormat="false" ht="15" hidden="false" customHeight="false" outlineLevel="0" collapsed="false">
      <c r="A190" s="2" t="s">
        <v>51</v>
      </c>
      <c r="B190" s="2" t="n">
        <v>1999</v>
      </c>
      <c r="C190" s="2" t="s">
        <v>77</v>
      </c>
      <c r="D190" s="3" t="n">
        <v>351290</v>
      </c>
      <c r="E190" s="3" t="n">
        <v>345820</v>
      </c>
      <c r="F190" s="2" t="s">
        <v>14</v>
      </c>
      <c r="G190" s="3" t="n">
        <v>984</v>
      </c>
      <c r="H190" s="2" t="s">
        <v>15</v>
      </c>
      <c r="I190" s="2" t="n">
        <v>1000</v>
      </c>
      <c r="J190" s="4" t="n">
        <f aca="false">IFERROR(E190*I190/D190,"")</f>
        <v>984.428819493866</v>
      </c>
      <c r="K190" s="5" t="n">
        <f aca="false">IFERROR((J190-G190)/G190,"")</f>
        <v>0.00043579216856249</v>
      </c>
      <c r="L190" s="2" t="str">
        <f aca="false">IF(K190="","",IF(ABS(K190)&gt;0.05,"CHECK","OK"))</f>
        <v>OK</v>
      </c>
    </row>
    <row r="191" customFormat="false" ht="15" hidden="false" customHeight="false" outlineLevel="0" collapsed="false">
      <c r="A191" s="2" t="s">
        <v>51</v>
      </c>
      <c r="B191" s="2" t="n">
        <v>1999</v>
      </c>
      <c r="C191" s="2" t="s">
        <v>78</v>
      </c>
      <c r="D191" s="3" t="n">
        <v>157772</v>
      </c>
      <c r="E191" s="3" t="n">
        <v>241490</v>
      </c>
      <c r="F191" s="2" t="s">
        <v>14</v>
      </c>
      <c r="G191" s="3" t="n">
        <v>1531</v>
      </c>
      <c r="H191" s="2" t="s">
        <v>15</v>
      </c>
      <c r="I191" s="2" t="n">
        <v>1000</v>
      </c>
      <c r="J191" s="4" t="n">
        <f aca="false">IFERROR(E191*I191/D191,"")</f>
        <v>1530.62647364551</v>
      </c>
      <c r="K191" s="5" t="n">
        <f aca="false">IFERROR((J191-G191)/G191,"")</f>
        <v>-0.000243975411160242</v>
      </c>
      <c r="L191" s="2" t="str">
        <f aca="false">IF(K191="","",IF(ABS(K191)&gt;0.05,"CHECK","OK"))</f>
        <v>OK</v>
      </c>
    </row>
    <row r="192" customFormat="false" ht="15" hidden="false" customHeight="false" outlineLevel="0" collapsed="false">
      <c r="A192" s="2" t="s">
        <v>52</v>
      </c>
      <c r="B192" s="2" t="n">
        <v>2000</v>
      </c>
      <c r="C192" s="2" t="s">
        <v>77</v>
      </c>
      <c r="D192" s="3" t="n">
        <v>331349</v>
      </c>
      <c r="E192" s="3" t="n">
        <v>306020</v>
      </c>
      <c r="F192" s="2" t="s">
        <v>14</v>
      </c>
      <c r="G192" s="3" t="n">
        <v>923</v>
      </c>
      <c r="H192" s="2" t="s">
        <v>15</v>
      </c>
      <c r="I192" s="2" t="n">
        <v>1000</v>
      </c>
      <c r="J192" s="4" t="n">
        <f aca="false">IFERROR(E192*I192/D192,"")</f>
        <v>923.557940419316</v>
      </c>
      <c r="K192" s="5" t="n">
        <f aca="false">IFERROR((J192-G192)/G192,"")</f>
        <v>0.000604485828078219</v>
      </c>
      <c r="L192" s="2" t="str">
        <f aca="false">IF(K192="","",IF(ABS(K192)&gt;0.05,"CHECK","OK"))</f>
        <v>OK</v>
      </c>
    </row>
    <row r="193" customFormat="false" ht="15" hidden="false" customHeight="false" outlineLevel="0" collapsed="false">
      <c r="A193" s="2" t="s">
        <v>52</v>
      </c>
      <c r="B193" s="2" t="n">
        <v>2000</v>
      </c>
      <c r="C193" s="2" t="s">
        <v>78</v>
      </c>
      <c r="D193" s="3" t="n">
        <v>129256</v>
      </c>
      <c r="E193" s="3" t="n">
        <v>170370</v>
      </c>
      <c r="F193" s="2" t="s">
        <v>14</v>
      </c>
      <c r="G193" s="3" t="n">
        <v>1318</v>
      </c>
      <c r="H193" s="2" t="s">
        <v>15</v>
      </c>
      <c r="I193" s="2" t="n">
        <v>1000</v>
      </c>
      <c r="J193" s="4" t="n">
        <f aca="false">IFERROR(E193*I193/D193,"")</f>
        <v>1318.0819459058</v>
      </c>
      <c r="K193" s="5" t="n">
        <f aca="false">IFERROR((J193-G193)/G193,"")</f>
        <v>6.21744353560925E-005</v>
      </c>
      <c r="L193" s="2" t="str">
        <f aca="false">IF(K193="","",IF(ABS(K193)&gt;0.05,"CHECK","OK"))</f>
        <v>OK</v>
      </c>
    </row>
    <row r="194" customFormat="false" ht="15" hidden="false" customHeight="false" outlineLevel="0" collapsed="false">
      <c r="A194" s="2" t="s">
        <v>53</v>
      </c>
      <c r="B194" s="2" t="n">
        <v>2001</v>
      </c>
      <c r="C194" s="2" t="s">
        <v>77</v>
      </c>
      <c r="D194" s="3" t="n">
        <v>317233</v>
      </c>
      <c r="E194" s="3" t="n">
        <v>274840</v>
      </c>
      <c r="F194" s="2" t="s">
        <v>14</v>
      </c>
      <c r="G194" s="3" t="n">
        <v>866</v>
      </c>
      <c r="H194" s="2" t="s">
        <v>15</v>
      </c>
      <c r="I194" s="2" t="n">
        <v>1000</v>
      </c>
      <c r="J194" s="4" t="n">
        <f aca="false">IFERROR(E194*I194/D194,"")</f>
        <v>866.366361633248</v>
      </c>
      <c r="K194" s="5" t="n">
        <f aca="false">IFERROR((J194-G194)/G194,"")</f>
        <v>0.000423050384812348</v>
      </c>
      <c r="L194" s="2" t="str">
        <f aca="false">IF(K194="","",IF(ABS(K194)&gt;0.05,"CHECK","OK"))</f>
        <v>OK</v>
      </c>
    </row>
    <row r="195" customFormat="false" ht="15" hidden="false" customHeight="false" outlineLevel="0" collapsed="false">
      <c r="A195" s="2" t="s">
        <v>53</v>
      </c>
      <c r="B195" s="2" t="n">
        <v>2001</v>
      </c>
      <c r="C195" s="2" t="s">
        <v>78</v>
      </c>
      <c r="D195" s="3" t="n">
        <v>125093</v>
      </c>
      <c r="E195" s="3" t="n">
        <v>152970</v>
      </c>
      <c r="F195" s="2" t="s">
        <v>14</v>
      </c>
      <c r="G195" s="3" t="n">
        <v>1223</v>
      </c>
      <c r="H195" s="2" t="s">
        <v>15</v>
      </c>
      <c r="I195" s="2" t="n">
        <v>1000</v>
      </c>
      <c r="J195" s="4" t="n">
        <f aca="false">IFERROR(E195*I195/D195,"")</f>
        <v>1222.85019945161</v>
      </c>
      <c r="K195" s="5" t="n">
        <f aca="false">IFERROR((J195-G195)/G195,"")</f>
        <v>-0.000122486139322995</v>
      </c>
      <c r="L195" s="2" t="str">
        <f aca="false">IF(K195="","",IF(ABS(K195)&gt;0.05,"CHECK","OK"))</f>
        <v>OK</v>
      </c>
    </row>
    <row r="196" customFormat="false" ht="15" hidden="false" customHeight="false" outlineLevel="0" collapsed="false">
      <c r="A196" s="2" t="s">
        <v>54</v>
      </c>
      <c r="B196" s="2" t="n">
        <v>2002</v>
      </c>
      <c r="C196" s="2" t="s">
        <v>77</v>
      </c>
      <c r="D196" s="3" t="n">
        <v>319607</v>
      </c>
      <c r="E196" s="3" t="n">
        <v>210793</v>
      </c>
      <c r="F196" s="2" t="s">
        <v>14</v>
      </c>
      <c r="G196" s="3" t="n">
        <v>660</v>
      </c>
      <c r="H196" s="2" t="s">
        <v>15</v>
      </c>
      <c r="I196" s="2" t="n">
        <v>1000</v>
      </c>
      <c r="J196" s="4" t="n">
        <f aca="false">IFERROR(E196*I196/D196,"")</f>
        <v>659.538120253937</v>
      </c>
      <c r="K196" s="5" t="n">
        <f aca="false">IFERROR((J196-G196)/G196,"")</f>
        <v>-0.000699817797065331</v>
      </c>
      <c r="L196" s="2" t="str">
        <f aca="false">IF(K196="","",IF(ABS(K196)&gt;0.05,"CHECK","OK"))</f>
        <v>OK</v>
      </c>
    </row>
    <row r="197" customFormat="false" ht="15" hidden="false" customHeight="false" outlineLevel="0" collapsed="false">
      <c r="A197" s="2" t="s">
        <v>54</v>
      </c>
      <c r="B197" s="2" t="n">
        <v>2002</v>
      </c>
      <c r="C197" s="2" t="s">
        <v>78</v>
      </c>
      <c r="D197" s="3" t="n">
        <v>102020</v>
      </c>
      <c r="E197" s="3" t="n">
        <v>88682</v>
      </c>
      <c r="F197" s="2" t="s">
        <v>14</v>
      </c>
      <c r="G197" s="3" t="n">
        <v>869</v>
      </c>
      <c r="H197" s="2" t="s">
        <v>15</v>
      </c>
      <c r="I197" s="2" t="n">
        <v>1000</v>
      </c>
      <c r="J197" s="4" t="n">
        <f aca="false">IFERROR(E197*I197/D197,"")</f>
        <v>869.260929229563</v>
      </c>
      <c r="K197" s="5" t="n">
        <f aca="false">IFERROR((J197-G197)/G197,"")</f>
        <v>0.000300263785457839</v>
      </c>
      <c r="L197" s="2" t="str">
        <f aca="false">IF(K197="","",IF(ABS(K197)&gt;0.05,"CHECK","OK"))</f>
        <v>OK</v>
      </c>
    </row>
    <row r="198" customFormat="false" ht="15" hidden="false" customHeight="false" outlineLevel="0" collapsed="false">
      <c r="A198" s="2" t="s">
        <v>55</v>
      </c>
      <c r="B198" s="2" t="n">
        <v>2003</v>
      </c>
      <c r="C198" s="2" t="s">
        <v>77</v>
      </c>
      <c r="D198" s="3" t="n">
        <v>401607</v>
      </c>
      <c r="E198" s="3" t="n">
        <v>245933</v>
      </c>
      <c r="F198" s="2" t="s">
        <v>14</v>
      </c>
      <c r="G198" s="3" t="n">
        <v>612</v>
      </c>
      <c r="H198" s="2" t="s">
        <v>15</v>
      </c>
      <c r="I198" s="2" t="n">
        <v>1000</v>
      </c>
      <c r="J198" s="4" t="n">
        <f aca="false">IFERROR(E198*I198/D198,"")</f>
        <v>612.372294307619</v>
      </c>
      <c r="K198" s="5" t="n">
        <f aca="false">IFERROR((J198-G198)/G198,"")</f>
        <v>0.00060832403205733</v>
      </c>
      <c r="L198" s="2" t="str">
        <f aca="false">IF(K198="","",IF(ABS(K198)&gt;0.05,"CHECK","OK"))</f>
        <v>OK</v>
      </c>
    </row>
    <row r="199" customFormat="false" ht="15" hidden="false" customHeight="false" outlineLevel="0" collapsed="false">
      <c r="A199" s="2" t="s">
        <v>55</v>
      </c>
      <c r="B199" s="2" t="n">
        <v>2003</v>
      </c>
      <c r="C199" s="2" t="s">
        <v>78</v>
      </c>
      <c r="D199" s="3" t="n">
        <v>158851</v>
      </c>
      <c r="E199" s="3" t="n">
        <v>172341</v>
      </c>
      <c r="F199" s="2" t="s">
        <v>14</v>
      </c>
      <c r="G199" s="3" t="n">
        <v>1085</v>
      </c>
      <c r="H199" s="2" t="s">
        <v>15</v>
      </c>
      <c r="I199" s="2" t="n">
        <v>1000</v>
      </c>
      <c r="J199" s="4" t="n">
        <f aca="false">IFERROR(E199*I199/D199,"")</f>
        <v>1084.922348616</v>
      </c>
      <c r="K199" s="5" t="n">
        <f aca="false">IFERROR((J199-G199)/G199,"")</f>
        <v>-7.15680958538764E-005</v>
      </c>
      <c r="L199" s="2" t="str">
        <f aca="false">IF(K199="","",IF(ABS(K199)&gt;0.05,"CHECK","OK"))</f>
        <v>OK</v>
      </c>
    </row>
    <row r="200" customFormat="false" ht="15" hidden="false" customHeight="false" outlineLevel="0" collapsed="false">
      <c r="A200" s="2" t="s">
        <v>56</v>
      </c>
      <c r="B200" s="2" t="n">
        <v>2004</v>
      </c>
      <c r="C200" s="2" t="s">
        <v>77</v>
      </c>
      <c r="D200" s="3" t="n">
        <v>376739</v>
      </c>
      <c r="E200" s="3" t="n">
        <v>252063</v>
      </c>
      <c r="F200" s="2" t="s">
        <v>14</v>
      </c>
      <c r="G200" s="3" t="n">
        <v>669</v>
      </c>
      <c r="H200" s="2" t="s">
        <v>15</v>
      </c>
      <c r="I200" s="2" t="n">
        <v>1000</v>
      </c>
      <c r="J200" s="4" t="n">
        <f aca="false">IFERROR(E200*I200/D200,"")</f>
        <v>669.065321084358</v>
      </c>
      <c r="K200" s="5" t="n">
        <f aca="false">IFERROR((J200-G200)/G200,"")</f>
        <v>9.76398869329965E-005</v>
      </c>
      <c r="L200" s="2" t="str">
        <f aca="false">IF(K200="","",IF(ABS(K200)&gt;0.05,"CHECK","OK"))</f>
        <v>OK</v>
      </c>
    </row>
    <row r="201" customFormat="false" ht="15" hidden="false" customHeight="false" outlineLevel="0" collapsed="false">
      <c r="A201" s="2" t="s">
        <v>56</v>
      </c>
      <c r="B201" s="2" t="n">
        <v>2004</v>
      </c>
      <c r="C201" s="2" t="s">
        <v>78</v>
      </c>
      <c r="D201" s="3" t="n">
        <v>97608</v>
      </c>
      <c r="E201" s="3" t="n">
        <v>124300</v>
      </c>
      <c r="F201" s="2" t="s">
        <v>14</v>
      </c>
      <c r="G201" s="3" t="n">
        <v>1273</v>
      </c>
      <c r="H201" s="2" t="s">
        <v>15</v>
      </c>
      <c r="I201" s="2" t="n">
        <v>1000</v>
      </c>
      <c r="J201" s="4" t="n">
        <f aca="false">IFERROR(E201*I201/D201,"")</f>
        <v>1273.4611917056</v>
      </c>
      <c r="K201" s="5" t="n">
        <f aca="false">IFERROR((J201-G201)/G201,"")</f>
        <v>0.000362287278552955</v>
      </c>
      <c r="L201" s="2" t="str">
        <f aca="false">IF(K201="","",IF(ABS(K201)&gt;0.05,"CHECK","OK"))</f>
        <v>OK</v>
      </c>
    </row>
    <row r="202" customFormat="false" ht="15" hidden="false" customHeight="false" outlineLevel="0" collapsed="false">
      <c r="A202" s="2" t="s">
        <v>57</v>
      </c>
      <c r="B202" s="2" t="n">
        <v>2005</v>
      </c>
      <c r="C202" s="2" t="s">
        <v>77</v>
      </c>
      <c r="D202" s="3" t="n">
        <v>316274</v>
      </c>
      <c r="E202" s="3" t="n">
        <v>231449</v>
      </c>
      <c r="F202" s="2" t="s">
        <v>14</v>
      </c>
      <c r="G202" s="3" t="n">
        <v>732</v>
      </c>
      <c r="H202" s="2" t="s">
        <v>15</v>
      </c>
      <c r="I202" s="2" t="n">
        <v>1000</v>
      </c>
      <c r="J202" s="4" t="n">
        <f aca="false">IFERROR(E202*I202/D202,"")</f>
        <v>731.799009719421</v>
      </c>
      <c r="K202" s="5" t="n">
        <f aca="false">IFERROR((J202-G202)/G202,"")</f>
        <v>-0.000274576886037573</v>
      </c>
      <c r="L202" s="2" t="str">
        <f aca="false">IF(K202="","",IF(ABS(K202)&gt;0.05,"CHECK","OK"))</f>
        <v>OK</v>
      </c>
    </row>
    <row r="203" customFormat="false" ht="15" hidden="false" customHeight="false" outlineLevel="0" collapsed="false">
      <c r="A203" s="2" t="s">
        <v>57</v>
      </c>
      <c r="B203" s="2" t="n">
        <v>2005</v>
      </c>
      <c r="C203" s="2" t="s">
        <v>78</v>
      </c>
      <c r="D203" s="3" t="n">
        <v>81925</v>
      </c>
      <c r="E203" s="3" t="n">
        <v>94799</v>
      </c>
      <c r="F203" s="2" t="s">
        <v>14</v>
      </c>
      <c r="G203" s="3" t="n">
        <v>1157</v>
      </c>
      <c r="H203" s="2" t="s">
        <v>15</v>
      </c>
      <c r="I203" s="2" t="n">
        <v>1000</v>
      </c>
      <c r="J203" s="4" t="n">
        <f aca="false">IFERROR(E203*I203/D203,"")</f>
        <v>1157.14372902045</v>
      </c>
      <c r="K203" s="5" t="n">
        <f aca="false">IFERROR((J203-G203)/G203,"")</f>
        <v>0.000124225601076545</v>
      </c>
      <c r="L203" s="2" t="str">
        <f aca="false">IF(K203="","",IF(ABS(K203)&gt;0.05,"CHECK","OK"))</f>
        <v>OK</v>
      </c>
    </row>
    <row r="204" customFormat="false" ht="15" hidden="false" customHeight="false" outlineLevel="0" collapsed="false">
      <c r="A204" s="2" t="s">
        <v>58</v>
      </c>
      <c r="B204" s="2" t="n">
        <v>2006</v>
      </c>
      <c r="C204" s="2" t="s">
        <v>77</v>
      </c>
      <c r="D204" s="3" t="n">
        <v>294376</v>
      </c>
      <c r="E204" s="3" t="n">
        <v>293940</v>
      </c>
      <c r="F204" s="2" t="s">
        <v>14</v>
      </c>
      <c r="G204" s="3" t="n">
        <v>999</v>
      </c>
      <c r="H204" s="2" t="s">
        <v>15</v>
      </c>
      <c r="I204" s="2" t="n">
        <v>1000</v>
      </c>
      <c r="J204" s="4" t="n">
        <f aca="false">IFERROR(E204*I204/D204,"")</f>
        <v>998.518900997364</v>
      </c>
      <c r="K204" s="5" t="n">
        <f aca="false">IFERROR((J204-G204)/G204,"")</f>
        <v>-0.000481580583219248</v>
      </c>
      <c r="L204" s="2" t="str">
        <f aca="false">IF(K204="","",IF(ABS(K204)&gt;0.05,"CHECK","OK"))</f>
        <v>OK</v>
      </c>
    </row>
    <row r="205" customFormat="false" ht="15" hidden="false" customHeight="false" outlineLevel="0" collapsed="false">
      <c r="A205" s="2" t="s">
        <v>58</v>
      </c>
      <c r="B205" s="2" t="n">
        <v>2006</v>
      </c>
      <c r="C205" s="2" t="s">
        <v>78</v>
      </c>
      <c r="D205" s="3" t="n">
        <v>65512</v>
      </c>
      <c r="E205" s="3" t="n">
        <v>98969</v>
      </c>
      <c r="F205" s="2" t="s">
        <v>14</v>
      </c>
      <c r="G205" s="3" t="n">
        <v>1511</v>
      </c>
      <c r="H205" s="2" t="s">
        <v>15</v>
      </c>
      <c r="I205" s="2" t="n">
        <v>1000</v>
      </c>
      <c r="J205" s="4" t="n">
        <f aca="false">IFERROR(E205*I205/D205,"")</f>
        <v>1510.70032971059</v>
      </c>
      <c r="K205" s="5" t="n">
        <f aca="false">IFERROR((J205-G205)/G205,"")</f>
        <v>-0.000198325803714552</v>
      </c>
      <c r="L205" s="2" t="str">
        <f aca="false">IF(K205="","",IF(ABS(K205)&gt;0.05,"CHECK","OK"))</f>
        <v>OK</v>
      </c>
    </row>
    <row r="206" customFormat="false" ht="15" hidden="false" customHeight="false" outlineLevel="0" collapsed="false">
      <c r="A206" s="2" t="s">
        <v>59</v>
      </c>
      <c r="B206" s="2" t="n">
        <v>2007</v>
      </c>
      <c r="C206" s="2" t="s">
        <v>77</v>
      </c>
      <c r="D206" s="3" t="n">
        <v>283526</v>
      </c>
      <c r="E206" s="3" t="n">
        <v>247836</v>
      </c>
      <c r="F206" s="2" t="s">
        <v>14</v>
      </c>
      <c r="G206" s="3" t="n">
        <v>874</v>
      </c>
      <c r="H206" s="2" t="s">
        <v>15</v>
      </c>
      <c r="I206" s="2" t="n">
        <v>1000</v>
      </c>
      <c r="J206" s="4" t="n">
        <f aca="false">IFERROR(E206*I206/D206,"")</f>
        <v>874.120891911148</v>
      </c>
      <c r="K206" s="5" t="n">
        <f aca="false">IFERROR((J206-G206)/G206,"")</f>
        <v>0.000138320264470835</v>
      </c>
      <c r="L206" s="2" t="str">
        <f aca="false">IF(K206="","",IF(ABS(K206)&gt;0.05,"CHECK","OK"))</f>
        <v>OK</v>
      </c>
    </row>
    <row r="207" customFormat="false" ht="15" hidden="false" customHeight="false" outlineLevel="0" collapsed="false">
      <c r="A207" s="2" t="s">
        <v>59</v>
      </c>
      <c r="B207" s="2" t="n">
        <v>2007</v>
      </c>
      <c r="C207" s="2" t="s">
        <v>78</v>
      </c>
      <c r="D207" s="3" t="n">
        <v>59798</v>
      </c>
      <c r="E207" s="3" t="n">
        <v>85840</v>
      </c>
      <c r="F207" s="2" t="s">
        <v>14</v>
      </c>
      <c r="G207" s="3" t="n">
        <v>1436</v>
      </c>
      <c r="H207" s="2" t="s">
        <v>15</v>
      </c>
      <c r="I207" s="2" t="n">
        <v>1000</v>
      </c>
      <c r="J207" s="4" t="n">
        <f aca="false">IFERROR(E207*I207/D207,"")</f>
        <v>1435.49951503395</v>
      </c>
      <c r="K207" s="5" t="n">
        <f aca="false">IFERROR((J207-G207)/G207,"")</f>
        <v>-0.000348527135134021</v>
      </c>
      <c r="L207" s="2" t="str">
        <f aca="false">IF(K207="","",IF(ABS(K207)&gt;0.05,"CHECK","OK"))</f>
        <v>OK</v>
      </c>
    </row>
    <row r="208" customFormat="false" ht="15" hidden="false" customHeight="false" outlineLevel="0" collapsed="false">
      <c r="A208" s="2" t="s">
        <v>60</v>
      </c>
      <c r="B208" s="2" t="n">
        <v>2008</v>
      </c>
      <c r="C208" s="2" t="s">
        <v>77</v>
      </c>
      <c r="D208" s="3" t="n">
        <v>258876</v>
      </c>
      <c r="E208" s="3" t="n">
        <v>213436</v>
      </c>
      <c r="F208" s="2" t="s">
        <v>14</v>
      </c>
      <c r="G208" s="3" t="n">
        <v>824</v>
      </c>
      <c r="H208" s="2" t="s">
        <v>15</v>
      </c>
      <c r="I208" s="2" t="n">
        <v>1000</v>
      </c>
      <c r="J208" s="4" t="n">
        <f aca="false">IFERROR(E208*I208/D208,"")</f>
        <v>824.471947959641</v>
      </c>
      <c r="K208" s="5" t="n">
        <f aca="false">IFERROR((J208-G208)/G208,"")</f>
        <v>0.000572752378205028</v>
      </c>
      <c r="L208" s="2" t="str">
        <f aca="false">IF(K208="","",IF(ABS(K208)&gt;0.05,"CHECK","OK"))</f>
        <v>OK</v>
      </c>
    </row>
    <row r="209" customFormat="false" ht="15" hidden="false" customHeight="false" outlineLevel="0" collapsed="false">
      <c r="A209" s="2" t="s">
        <v>60</v>
      </c>
      <c r="B209" s="2" t="n">
        <v>2008</v>
      </c>
      <c r="C209" s="2" t="s">
        <v>78</v>
      </c>
      <c r="D209" s="3" t="n">
        <v>56672</v>
      </c>
      <c r="E209" s="3" t="n">
        <v>84021</v>
      </c>
      <c r="F209" s="2" t="s">
        <v>14</v>
      </c>
      <c r="G209" s="3" t="n">
        <v>1483</v>
      </c>
      <c r="H209" s="2" t="s">
        <v>15</v>
      </c>
      <c r="I209" s="2" t="n">
        <v>1000</v>
      </c>
      <c r="J209" s="4" t="n">
        <f aca="false">IFERROR(E209*I209/D209,"")</f>
        <v>1482.58399209486</v>
      </c>
      <c r="K209" s="5" t="n">
        <f aca="false">IFERROR((J209-G209)/G209,"")</f>
        <v>-0.000280517805217976</v>
      </c>
      <c r="L209" s="2" t="str">
        <f aca="false">IF(K209="","",IF(ABS(K209)&gt;0.05,"CHECK","OK"))</f>
        <v>OK</v>
      </c>
    </row>
    <row r="210" customFormat="false" ht="15" hidden="false" customHeight="false" outlineLevel="0" collapsed="false">
      <c r="A210" s="2" t="s">
        <v>61</v>
      </c>
      <c r="B210" s="2" t="n">
        <v>2009</v>
      </c>
      <c r="C210" s="2" t="s">
        <v>77</v>
      </c>
      <c r="D210" s="3" t="n">
        <v>238476</v>
      </c>
      <c r="E210" s="3" t="n">
        <v>221960</v>
      </c>
      <c r="F210" s="2" t="s">
        <v>14</v>
      </c>
      <c r="G210" s="3" t="n">
        <v>931</v>
      </c>
      <c r="H210" s="2" t="s">
        <v>15</v>
      </c>
      <c r="I210" s="2" t="n">
        <v>1000</v>
      </c>
      <c r="J210" s="4" t="n">
        <f aca="false">IFERROR(E210*I210/D210,"")</f>
        <v>930.743554906993</v>
      </c>
      <c r="K210" s="5" t="n">
        <f aca="false">IFERROR((J210-G210)/G210,"")</f>
        <v>-0.000275451227719979</v>
      </c>
      <c r="L210" s="2" t="str">
        <f aca="false">IF(K210="","",IF(ABS(K210)&gt;0.05,"CHECK","OK"))</f>
        <v>OK</v>
      </c>
    </row>
    <row r="211" customFormat="false" ht="15" hidden="false" customHeight="false" outlineLevel="0" collapsed="false">
      <c r="A211" s="2" t="s">
        <v>61</v>
      </c>
      <c r="B211" s="2" t="n">
        <v>2009</v>
      </c>
      <c r="C211" s="2" t="s">
        <v>78</v>
      </c>
      <c r="D211" s="3" t="n">
        <v>54427</v>
      </c>
      <c r="E211" s="3" t="n">
        <v>82652</v>
      </c>
      <c r="F211" s="2" t="s">
        <v>14</v>
      </c>
      <c r="G211" s="3" t="n">
        <v>1519</v>
      </c>
      <c r="H211" s="2" t="s">
        <v>15</v>
      </c>
      <c r="I211" s="2" t="n">
        <v>1000</v>
      </c>
      <c r="J211" s="4" t="n">
        <f aca="false">IFERROR(E211*I211/D211,"")</f>
        <v>1518.58452606243</v>
      </c>
      <c r="K211" s="5" t="n">
        <f aca="false">IFERROR((J211-G211)/G211,"")</f>
        <v>-0.000273518062914839</v>
      </c>
      <c r="L211" s="2" t="str">
        <f aca="false">IF(K211="","",IF(ABS(K211)&gt;0.05,"CHECK","OK"))</f>
        <v>OK</v>
      </c>
    </row>
    <row r="212" customFormat="false" ht="15" hidden="false" customHeight="false" outlineLevel="0" collapsed="false">
      <c r="A212" s="2" t="s">
        <v>62</v>
      </c>
      <c r="B212" s="2" t="n">
        <v>2010</v>
      </c>
      <c r="C212" s="2" t="s">
        <v>77</v>
      </c>
      <c r="D212" s="3" t="n">
        <v>243465</v>
      </c>
      <c r="E212" s="3" t="n">
        <v>246981</v>
      </c>
      <c r="F212" s="2" t="s">
        <v>14</v>
      </c>
      <c r="G212" s="3" t="n">
        <v>1014</v>
      </c>
      <c r="H212" s="2" t="s">
        <v>15</v>
      </c>
      <c r="I212" s="2" t="n">
        <v>1000</v>
      </c>
      <c r="J212" s="4" t="n">
        <f aca="false">IFERROR(E212*I212/D212,"")</f>
        <v>1014.44150083174</v>
      </c>
      <c r="K212" s="5" t="n">
        <f aca="false">IFERROR((J212-G212)/G212,"")</f>
        <v>0.000435405159508558</v>
      </c>
      <c r="L212" s="2" t="str">
        <f aca="false">IF(K212="","",IF(ABS(K212)&gt;0.05,"CHECK","OK"))</f>
        <v>OK</v>
      </c>
    </row>
    <row r="213" customFormat="false" ht="15" hidden="false" customHeight="false" outlineLevel="0" collapsed="false">
      <c r="A213" s="2" t="s">
        <v>62</v>
      </c>
      <c r="B213" s="2" t="n">
        <v>2010</v>
      </c>
      <c r="C213" s="2" t="s">
        <v>78</v>
      </c>
      <c r="D213" s="3" t="n">
        <v>49482</v>
      </c>
      <c r="E213" s="3" t="n">
        <v>77369</v>
      </c>
      <c r="F213" s="2" t="s">
        <v>14</v>
      </c>
      <c r="G213" s="3" t="n">
        <v>1564</v>
      </c>
      <c r="H213" s="2" t="s">
        <v>15</v>
      </c>
      <c r="I213" s="2" t="n">
        <v>1000</v>
      </c>
      <c r="J213" s="4" t="n">
        <f aca="false">IFERROR(E213*I213/D213,"")</f>
        <v>1563.57867507376</v>
      </c>
      <c r="K213" s="5" t="n">
        <f aca="false">IFERROR((J213-G213)/G213,"")</f>
        <v>-0.000269389339025519</v>
      </c>
      <c r="L213" s="2" t="str">
        <f aca="false">IF(K213="","",IF(ABS(K213)&gt;0.05,"CHECK","OK"))</f>
        <v>OK</v>
      </c>
    </row>
    <row r="214" customFormat="false" ht="15" hidden="false" customHeight="false" outlineLevel="0" collapsed="false">
      <c r="A214" s="2" t="s">
        <v>63</v>
      </c>
      <c r="B214" s="2" t="n">
        <v>2011</v>
      </c>
      <c r="C214" s="2" t="s">
        <v>77</v>
      </c>
      <c r="D214" s="3" t="n">
        <v>197696</v>
      </c>
      <c r="E214" s="3" t="n">
        <v>252522</v>
      </c>
      <c r="F214" s="2" t="s">
        <v>14</v>
      </c>
      <c r="G214" s="3" t="n">
        <v>1277</v>
      </c>
      <c r="H214" s="2" t="s">
        <v>15</v>
      </c>
      <c r="I214" s="2" t="n">
        <v>1000</v>
      </c>
      <c r="J214" s="4" t="n">
        <f aca="false">IFERROR(E214*I214/D214,"")</f>
        <v>1277.32478148268</v>
      </c>
      <c r="K214" s="5" t="n">
        <f aca="false">IFERROR((J214-G214)/G214,"")</f>
        <v>0.00025433162308572</v>
      </c>
      <c r="L214" s="2" t="str">
        <f aca="false">IF(K214="","",IF(ABS(K214)&gt;0.05,"CHECK","OK"))</f>
        <v>OK</v>
      </c>
    </row>
    <row r="215" customFormat="false" ht="15" hidden="false" customHeight="false" outlineLevel="0" collapsed="false">
      <c r="A215" s="2" t="s">
        <v>63</v>
      </c>
      <c r="B215" s="2" t="n">
        <v>2011</v>
      </c>
      <c r="C215" s="2" t="s">
        <v>78</v>
      </c>
      <c r="D215" s="3" t="n">
        <v>46664</v>
      </c>
      <c r="E215" s="3" t="n">
        <v>114447</v>
      </c>
      <c r="F215" s="2" t="s">
        <v>14</v>
      </c>
      <c r="G215" s="3" t="n">
        <v>2453</v>
      </c>
      <c r="H215" s="2" t="s">
        <v>15</v>
      </c>
      <c r="I215" s="2" t="n">
        <v>1000</v>
      </c>
      <c r="J215" s="4" t="n">
        <f aca="false">IFERROR(E215*I215/D215,"")</f>
        <v>2452.5758614778</v>
      </c>
      <c r="K215" s="5" t="n">
        <f aca="false">IFERROR((J215-G215)/G215,"")</f>
        <v>-0.000172906042479106</v>
      </c>
      <c r="L215" s="2" t="str">
        <f aca="false">IF(K215="","",IF(ABS(K215)&gt;0.05,"CHECK","OK"))</f>
        <v>OK</v>
      </c>
    </row>
    <row r="216" customFormat="false" ht="15" hidden="false" customHeight="false" outlineLevel="0" collapsed="false">
      <c r="A216" s="2" t="s">
        <v>64</v>
      </c>
      <c r="B216" s="2" t="n">
        <v>2012</v>
      </c>
      <c r="C216" s="2" t="s">
        <v>77</v>
      </c>
      <c r="D216" s="3" t="n">
        <v>210893</v>
      </c>
      <c r="E216" s="3" t="n">
        <v>174966</v>
      </c>
      <c r="F216" s="2" t="s">
        <v>14</v>
      </c>
      <c r="G216" s="3" t="n">
        <v>830</v>
      </c>
      <c r="H216" s="2" t="s">
        <v>15</v>
      </c>
      <c r="I216" s="2" t="n">
        <v>1000</v>
      </c>
      <c r="J216" s="4" t="n">
        <f aca="false">IFERROR(E216*I216/D216,"")</f>
        <v>829.64346848876</v>
      </c>
      <c r="K216" s="5" t="n">
        <f aca="false">IFERROR((J216-G216)/G216,"")</f>
        <v>-0.000429556037638905</v>
      </c>
      <c r="L216" s="2" t="str">
        <f aca="false">IF(K216="","",IF(ABS(K216)&gt;0.05,"CHECK","OK"))</f>
        <v>OK</v>
      </c>
    </row>
    <row r="217" customFormat="false" ht="15" hidden="false" customHeight="false" outlineLevel="0" collapsed="false">
      <c r="A217" s="2" t="s">
        <v>64</v>
      </c>
      <c r="B217" s="2" t="n">
        <v>2012</v>
      </c>
      <c r="C217" s="2" t="s">
        <v>78</v>
      </c>
      <c r="D217" s="3" t="n">
        <v>42928</v>
      </c>
      <c r="E217" s="3" t="n">
        <v>56505</v>
      </c>
      <c r="F217" s="2" t="s">
        <v>14</v>
      </c>
      <c r="G217" s="3" t="n">
        <v>1316</v>
      </c>
      <c r="H217" s="2" t="s">
        <v>15</v>
      </c>
      <c r="I217" s="2" t="n">
        <v>1000</v>
      </c>
      <c r="J217" s="4" t="n">
        <f aca="false">IFERROR(E217*I217/D217,"")</f>
        <v>1316.27376071562</v>
      </c>
      <c r="K217" s="5" t="n">
        <f aca="false">IFERROR((J217-G217)/G217,"")</f>
        <v>0.00020802485989122</v>
      </c>
      <c r="L217" s="2" t="str">
        <f aca="false">IF(K217="","",IF(ABS(K217)&gt;0.05,"CHECK","OK"))</f>
        <v>OK</v>
      </c>
    </row>
    <row r="218" customFormat="false" ht="15" hidden="false" customHeight="false" outlineLevel="0" collapsed="false">
      <c r="A218" s="2" t="s">
        <v>65</v>
      </c>
      <c r="B218" s="2" t="n">
        <v>2013</v>
      </c>
      <c r="C218" s="2" t="s">
        <v>77</v>
      </c>
      <c r="D218" s="3" t="n">
        <v>347131</v>
      </c>
      <c r="E218" s="3" t="n">
        <v>513313</v>
      </c>
      <c r="F218" s="2" t="s">
        <v>14</v>
      </c>
      <c r="G218" s="3" t="n">
        <v>1479</v>
      </c>
      <c r="H218" s="2" t="s">
        <v>15</v>
      </c>
      <c r="I218" s="2" t="n">
        <v>1000</v>
      </c>
      <c r="J218" s="4" t="n">
        <f aca="false">IFERROR(E218*I218/D218,"")</f>
        <v>1478.72993192772</v>
      </c>
      <c r="K218" s="5" t="n">
        <f aca="false">IFERROR((J218-G218)/G218,"")</f>
        <v>-0.000182601806818085</v>
      </c>
      <c r="L218" s="2" t="str">
        <f aca="false">IF(K218="","",IF(ABS(K218)&gt;0.05,"CHECK","OK"))</f>
        <v>OK</v>
      </c>
    </row>
    <row r="219" customFormat="false" ht="15" hidden="false" customHeight="false" outlineLevel="0" collapsed="false">
      <c r="A219" s="2" t="s">
        <v>65</v>
      </c>
      <c r="B219" s="2" t="n">
        <v>2013</v>
      </c>
      <c r="C219" s="2" t="s">
        <v>78</v>
      </c>
      <c r="D219" s="3" t="n">
        <v>54412</v>
      </c>
      <c r="E219" s="3" t="n">
        <v>117436</v>
      </c>
      <c r="F219" s="2" t="s">
        <v>14</v>
      </c>
      <c r="G219" s="3" t="n">
        <v>2158</v>
      </c>
      <c r="H219" s="2" t="s">
        <v>15</v>
      </c>
      <c r="I219" s="2" t="n">
        <v>1000</v>
      </c>
      <c r="J219" s="4" t="n">
        <f aca="false">IFERROR(E219*I219/D219,"")</f>
        <v>2158.27391016688</v>
      </c>
      <c r="K219" s="5" t="n">
        <f aca="false">IFERROR((J219-G219)/G219,"")</f>
        <v>0.000126927788171865</v>
      </c>
      <c r="L219" s="2" t="str">
        <f aca="false">IF(K219="","",IF(ABS(K219)&gt;0.05,"CHECK","OK"))</f>
        <v>OK</v>
      </c>
    </row>
    <row r="220" customFormat="false" ht="15" hidden="false" customHeight="false" outlineLevel="0" collapsed="false">
      <c r="A220" s="2" t="s">
        <v>66</v>
      </c>
      <c r="B220" s="2" t="n">
        <v>2014</v>
      </c>
      <c r="C220" s="2" t="s">
        <v>77</v>
      </c>
      <c r="D220" s="3" t="n">
        <v>415103</v>
      </c>
      <c r="E220" s="3" t="n">
        <v>868940</v>
      </c>
      <c r="F220" s="2" t="s">
        <v>14</v>
      </c>
      <c r="G220" s="3" t="n">
        <v>2093</v>
      </c>
      <c r="H220" s="2" t="s">
        <v>15</v>
      </c>
      <c r="I220" s="2" t="n">
        <v>1000</v>
      </c>
      <c r="J220" s="4" t="n">
        <f aca="false">IFERROR(E220*I220/D220,"")</f>
        <v>2093.31178044967</v>
      </c>
      <c r="K220" s="5" t="n">
        <f aca="false">IFERROR((J220-G220)/G220,"")</f>
        <v>0.000148963425547759</v>
      </c>
      <c r="L220" s="2" t="str">
        <f aca="false">IF(K220="","",IF(ABS(K220)&gt;0.05,"CHECK","OK"))</f>
        <v>OK</v>
      </c>
    </row>
    <row r="221" customFormat="false" ht="15" hidden="false" customHeight="false" outlineLevel="0" collapsed="false">
      <c r="A221" s="2" t="s">
        <v>66</v>
      </c>
      <c r="B221" s="2" t="n">
        <v>2014</v>
      </c>
      <c r="C221" s="2" t="s">
        <v>78</v>
      </c>
      <c r="D221" s="3" t="n">
        <v>57708</v>
      </c>
      <c r="E221" s="3" t="n">
        <v>177570</v>
      </c>
      <c r="F221" s="2" t="s">
        <v>14</v>
      </c>
      <c r="G221" s="3" t="n">
        <v>3077</v>
      </c>
      <c r="H221" s="2" t="s">
        <v>15</v>
      </c>
      <c r="I221" s="2" t="n">
        <v>1000</v>
      </c>
      <c r="J221" s="4" t="n">
        <f aca="false">IFERROR(E221*I221/D221,"")</f>
        <v>3077.04304429195</v>
      </c>
      <c r="K221" s="5" t="n">
        <f aca="false">IFERROR((J221-G221)/G221,"")</f>
        <v>1.39890451585344E-005</v>
      </c>
      <c r="L221" s="2" t="str">
        <f aca="false">IF(K221="","",IF(ABS(K221)&gt;0.05,"CHECK","OK"))</f>
        <v>OK</v>
      </c>
    </row>
    <row r="222" customFormat="false" ht="15" hidden="false" customHeight="false" outlineLevel="0" collapsed="false">
      <c r="A222" s="2" t="s">
        <v>67</v>
      </c>
      <c r="B222" s="2" t="n">
        <v>2015</v>
      </c>
      <c r="C222" s="2" t="s">
        <v>77</v>
      </c>
      <c r="D222" s="3" t="n">
        <v>339166</v>
      </c>
      <c r="E222" s="3" t="n">
        <v>439619</v>
      </c>
      <c r="F222" s="2" t="s">
        <v>14</v>
      </c>
      <c r="G222" s="3" t="n">
        <v>1301</v>
      </c>
      <c r="H222" s="2" t="s">
        <v>15</v>
      </c>
      <c r="I222" s="2" t="n">
        <v>1000</v>
      </c>
      <c r="J222" s="4" t="n">
        <f aca="false">IFERROR(E222*I222/D222,"")</f>
        <v>1296.17650354104</v>
      </c>
      <c r="K222" s="5" t="n">
        <f aca="false">IFERROR((J222-G222)/G222,"")</f>
        <v>-0.00370752994539663</v>
      </c>
      <c r="L222" s="2" t="str">
        <f aca="false">IF(K222="","",IF(ABS(K222)&gt;0.05,"CHECK","OK"))</f>
        <v>OK</v>
      </c>
    </row>
    <row r="223" customFormat="false" ht="15" hidden="false" customHeight="false" outlineLevel="0" collapsed="false">
      <c r="A223" s="2" t="s">
        <v>67</v>
      </c>
      <c r="B223" s="2" t="n">
        <v>2015</v>
      </c>
      <c r="C223" s="2" t="s">
        <v>78</v>
      </c>
      <c r="D223" s="3" t="n">
        <v>51606</v>
      </c>
      <c r="E223" s="3" t="n">
        <v>134331</v>
      </c>
      <c r="F223" s="2" t="s">
        <v>14</v>
      </c>
      <c r="G223" s="3" t="n">
        <v>2616</v>
      </c>
      <c r="H223" s="2" t="s">
        <v>15</v>
      </c>
      <c r="I223" s="2" t="n">
        <v>1000</v>
      </c>
      <c r="J223" s="4" t="n">
        <f aca="false">IFERROR(E223*I223/D223,"")</f>
        <v>2603.0112777584</v>
      </c>
      <c r="K223" s="5" t="n">
        <f aca="false">IFERROR((J223-G223)/G223,"")</f>
        <v>-0.00496510789051972</v>
      </c>
      <c r="L223" s="2" t="str">
        <f aca="false">IF(K223="","",IF(ABS(K223)&gt;0.05,"CHECK","OK"))</f>
        <v>OK</v>
      </c>
    </row>
    <row r="224" customFormat="false" ht="15" hidden="false" customHeight="false" outlineLevel="0" collapsed="false">
      <c r="A224" s="2" t="s">
        <v>68</v>
      </c>
      <c r="B224" s="2" t="n">
        <v>2016</v>
      </c>
      <c r="C224" s="2" t="s">
        <v>77</v>
      </c>
      <c r="D224" s="3" t="n">
        <v>268391</v>
      </c>
      <c r="E224" s="3" t="n">
        <v>153856</v>
      </c>
      <c r="F224" s="2" t="s">
        <v>14</v>
      </c>
      <c r="G224" s="3" t="n">
        <v>573</v>
      </c>
      <c r="H224" s="2" t="s">
        <v>15</v>
      </c>
      <c r="I224" s="2" t="n">
        <v>1000</v>
      </c>
      <c r="J224" s="4" t="n">
        <f aca="false">IFERROR(E224*I224/D224,"")</f>
        <v>573.253201485892</v>
      </c>
      <c r="K224" s="5" t="n">
        <f aca="false">IFERROR((J224-G224)/G224,"")</f>
        <v>0.000441887409933421</v>
      </c>
      <c r="L224" s="2" t="str">
        <f aca="false">IF(K224="","",IF(ABS(K224)&gt;0.05,"CHECK","OK"))</f>
        <v>OK</v>
      </c>
    </row>
    <row r="225" customFormat="false" ht="15" hidden="false" customHeight="false" outlineLevel="0" collapsed="false">
      <c r="A225" s="2" t="s">
        <v>68</v>
      </c>
      <c r="B225" s="2" t="n">
        <v>2016</v>
      </c>
      <c r="C225" s="2" t="s">
        <v>78</v>
      </c>
      <c r="D225" s="3" t="n">
        <v>49673</v>
      </c>
      <c r="E225" s="3" t="n">
        <v>102250</v>
      </c>
      <c r="F225" s="2" t="s">
        <v>14</v>
      </c>
      <c r="G225" s="3" t="n">
        <v>2058</v>
      </c>
      <c r="H225" s="2" t="s">
        <v>15</v>
      </c>
      <c r="I225" s="2" t="n">
        <v>1000</v>
      </c>
      <c r="J225" s="4" t="n">
        <f aca="false">IFERROR(E225*I225/D225,"")</f>
        <v>2058.46234372798</v>
      </c>
      <c r="K225" s="5" t="n">
        <f aca="false">IFERROR((J225-G225)/G225,"")</f>
        <v>0.000224656816317337</v>
      </c>
      <c r="L225" s="2" t="str">
        <f aca="false">IF(K225="","",IF(ABS(K225)&gt;0.05,"CHECK","OK"))</f>
        <v>OK</v>
      </c>
    </row>
    <row r="226" customFormat="false" ht="15" hidden="false" customHeight="false" outlineLevel="0" collapsed="false">
      <c r="A226" s="2" t="s">
        <v>69</v>
      </c>
      <c r="B226" s="2" t="n">
        <v>2017</v>
      </c>
      <c r="C226" s="2" t="s">
        <v>77</v>
      </c>
      <c r="D226" s="3" t="n">
        <v>385646</v>
      </c>
      <c r="E226" s="3" t="n">
        <v>430661</v>
      </c>
      <c r="F226" s="2" t="s">
        <v>14</v>
      </c>
      <c r="G226" s="3" t="n">
        <v>1117</v>
      </c>
      <c r="H226" s="2" t="s">
        <v>15</v>
      </c>
      <c r="I226" s="2" t="n">
        <v>1000</v>
      </c>
      <c r="J226" s="4" t="n">
        <f aca="false">IFERROR(E226*I226/D226,"")</f>
        <v>1116.72622041976</v>
      </c>
      <c r="K226" s="5" t="n">
        <f aca="false">IFERROR((J226-G226)/G226,"")</f>
        <v>-0.000245102578546827</v>
      </c>
      <c r="L226" s="2" t="str">
        <f aca="false">IF(K226="","",IF(ABS(K226)&gt;0.05,"CHECK","OK"))</f>
        <v>OK</v>
      </c>
    </row>
    <row r="227" customFormat="false" ht="15" hidden="false" customHeight="false" outlineLevel="0" collapsed="false">
      <c r="A227" s="2" t="s">
        <v>69</v>
      </c>
      <c r="B227" s="2" t="n">
        <v>2017</v>
      </c>
      <c r="C227" s="2" t="s">
        <v>78</v>
      </c>
      <c r="D227" s="3" t="n">
        <v>63029</v>
      </c>
      <c r="E227" s="3" t="n">
        <v>143548</v>
      </c>
      <c r="F227" s="2" t="s">
        <v>14</v>
      </c>
      <c r="G227" s="3" t="n">
        <v>2277</v>
      </c>
      <c r="H227" s="2" t="s">
        <v>15</v>
      </c>
      <c r="I227" s="2" t="n">
        <v>1000</v>
      </c>
      <c r="J227" s="4" t="n">
        <f aca="false">IFERROR(E227*I227/D227,"")</f>
        <v>2277.49131352235</v>
      </c>
      <c r="K227" s="5" t="n">
        <f aca="false">IFERROR((J227-G227)/G227,"")</f>
        <v>0.00021577229791256</v>
      </c>
      <c r="L227" s="2" t="str">
        <f aca="false">IF(K227="","",IF(ABS(K227)&gt;0.05,"CHECK","OK"))</f>
        <v>OK</v>
      </c>
    </row>
    <row r="228" customFormat="false" ht="15" hidden="false" customHeight="false" outlineLevel="0" collapsed="false">
      <c r="A228" s="2" t="s">
        <v>70</v>
      </c>
      <c r="B228" s="2" t="n">
        <v>2018</v>
      </c>
      <c r="C228" s="2" t="s">
        <v>77</v>
      </c>
      <c r="D228" s="3" t="n">
        <v>385842</v>
      </c>
      <c r="E228" s="3" t="n">
        <v>464481</v>
      </c>
      <c r="F228" s="2" t="s">
        <v>14</v>
      </c>
      <c r="G228" s="3" t="n">
        <v>1204</v>
      </c>
      <c r="H228" s="2" t="s">
        <v>15</v>
      </c>
      <c r="I228" s="2" t="n">
        <v>1000</v>
      </c>
      <c r="J228" s="4" t="n">
        <f aca="false">IFERROR(E228*I228/D228,"")</f>
        <v>1203.81140466823</v>
      </c>
      <c r="K228" s="5" t="n">
        <f aca="false">IFERROR((J228-G228)/G228,"")</f>
        <v>-0.00015664064100318</v>
      </c>
      <c r="L228" s="2" t="str">
        <f aca="false">IF(K228="","",IF(ABS(K228)&gt;0.05,"CHECK","OK"))</f>
        <v>OK</v>
      </c>
    </row>
    <row r="229" customFormat="false" ht="15" hidden="false" customHeight="false" outlineLevel="0" collapsed="false">
      <c r="A229" s="2" t="s">
        <v>70</v>
      </c>
      <c r="B229" s="2" t="n">
        <v>2018</v>
      </c>
      <c r="C229" s="2" t="s">
        <v>78</v>
      </c>
      <c r="D229" s="3" t="n">
        <v>46882</v>
      </c>
      <c r="E229" s="3" t="n">
        <v>118007</v>
      </c>
      <c r="F229" s="2" t="s">
        <v>14</v>
      </c>
      <c r="G229" s="3" t="n">
        <v>2517</v>
      </c>
      <c r="H229" s="2" t="s">
        <v>15</v>
      </c>
      <c r="I229" s="2" t="n">
        <v>1000</v>
      </c>
      <c r="J229" s="4" t="n">
        <f aca="false">IFERROR(E229*I229/D229,"")</f>
        <v>2517.10677872104</v>
      </c>
      <c r="K229" s="5" t="n">
        <f aca="false">IFERROR((J229-G229)/G229,"")</f>
        <v>4.2423011936639E-005</v>
      </c>
      <c r="L229" s="2" t="str">
        <f aca="false">IF(K229="","",IF(ABS(K229)&gt;0.05,"CHECK","OK"))</f>
        <v>OK</v>
      </c>
    </row>
    <row r="230" customFormat="false" ht="15" hidden="false" customHeight="false" outlineLevel="0" collapsed="false">
      <c r="A230" s="2" t="s">
        <v>71</v>
      </c>
      <c r="B230" s="2" t="n">
        <v>2019</v>
      </c>
      <c r="C230" s="2" t="s">
        <v>77</v>
      </c>
      <c r="D230" s="3" t="n">
        <v>450000</v>
      </c>
      <c r="E230" s="3" t="n">
        <v>519821</v>
      </c>
      <c r="F230" s="2" t="s">
        <v>14</v>
      </c>
      <c r="G230" s="3" t="n">
        <v>1155</v>
      </c>
      <c r="H230" s="2" t="s">
        <v>15</v>
      </c>
      <c r="I230" s="2" t="n">
        <v>1000</v>
      </c>
      <c r="J230" s="4" t="n">
        <f aca="false">IFERROR(E230*I230/D230,"")</f>
        <v>1155.15777777778</v>
      </c>
      <c r="K230" s="5" t="n">
        <f aca="false">IFERROR((J230-G230)/G230,"")</f>
        <v>0.000136604136604078</v>
      </c>
      <c r="L230" s="2" t="str">
        <f aca="false">IF(K230="","",IF(ABS(K230)&gt;0.05,"CHECK","OK"))</f>
        <v>OK</v>
      </c>
    </row>
    <row r="231" customFormat="false" ht="15" hidden="false" customHeight="false" outlineLevel="0" collapsed="false">
      <c r="A231" s="2" t="s">
        <v>71</v>
      </c>
      <c r="B231" s="2" t="n">
        <v>2019</v>
      </c>
      <c r="C231" s="2" t="s">
        <v>78</v>
      </c>
      <c r="D231" s="3" t="n">
        <v>67492</v>
      </c>
      <c r="E231" s="3" t="n">
        <v>185083</v>
      </c>
      <c r="F231" s="2" t="s">
        <v>14</v>
      </c>
      <c r="G231" s="3" t="n">
        <v>2743</v>
      </c>
      <c r="H231" s="2" t="s">
        <v>15</v>
      </c>
      <c r="I231" s="2" t="n">
        <v>1000</v>
      </c>
      <c r="J231" s="4" t="n">
        <f aca="false">IFERROR(E231*I231/D231,"")</f>
        <v>2742.29538315652</v>
      </c>
      <c r="K231" s="5" t="n">
        <f aca="false">IFERROR((J231-G231)/G231,"")</f>
        <v>-0.0002568781784461</v>
      </c>
      <c r="L231" s="2" t="str">
        <f aca="false">IF(K231="","",IF(ABS(K231)&gt;0.05,"CHECK","OK"))</f>
        <v>OK</v>
      </c>
    </row>
    <row r="232" customFormat="false" ht="15" hidden="false" customHeight="false" outlineLevel="0" collapsed="false">
      <c r="A232" s="2" t="s">
        <v>72</v>
      </c>
      <c r="B232" s="2" t="n">
        <v>2020</v>
      </c>
      <c r="C232" s="2" t="s">
        <v>77</v>
      </c>
      <c r="D232" s="3" t="n">
        <v>405425</v>
      </c>
      <c r="E232" s="3" t="n">
        <v>427228</v>
      </c>
      <c r="F232" s="2" t="s">
        <v>14</v>
      </c>
      <c r="G232" s="3" t="n">
        <v>1054</v>
      </c>
      <c r="H232" s="2" t="s">
        <v>15</v>
      </c>
      <c r="I232" s="2" t="n">
        <v>1000</v>
      </c>
      <c r="J232" s="4" t="n">
        <f aca="false">IFERROR(E232*I232/D232,"")</f>
        <v>1053.77813405685</v>
      </c>
      <c r="K232" s="5" t="n">
        <f aca="false">IFERROR((J232-G232)/G232,"")</f>
        <v>-0.000210498997292206</v>
      </c>
      <c r="L232" s="2" t="str">
        <f aca="false">IF(K232="","",IF(ABS(K232)&gt;0.05,"CHECK","OK"))</f>
        <v>OK</v>
      </c>
    </row>
    <row r="233" customFormat="false" ht="15" hidden="false" customHeight="false" outlineLevel="0" collapsed="false">
      <c r="A233" s="2" t="s">
        <v>72</v>
      </c>
      <c r="B233" s="2" t="n">
        <v>2020</v>
      </c>
      <c r="C233" s="2" t="s">
        <v>78</v>
      </c>
      <c r="D233" s="3" t="n">
        <v>67408</v>
      </c>
      <c r="E233" s="3" t="n">
        <v>158889</v>
      </c>
      <c r="F233" s="2" t="s">
        <v>14</v>
      </c>
      <c r="G233" s="3" t="n">
        <v>2357</v>
      </c>
      <c r="H233" s="2" t="s">
        <v>15</v>
      </c>
      <c r="I233" s="2" t="n">
        <v>1000</v>
      </c>
      <c r="J233" s="4" t="n">
        <f aca="false">IFERROR(E233*I233/D233,"")</f>
        <v>2357.12378352718</v>
      </c>
      <c r="K233" s="5" t="n">
        <f aca="false">IFERROR((J233-G233)/G233,"")</f>
        <v>5.25174065242652E-005</v>
      </c>
      <c r="L233" s="2" t="str">
        <f aca="false">IF(K233="","",IF(ABS(K233)&gt;0.05,"CHECK","OK"))</f>
        <v>OK</v>
      </c>
    </row>
    <row r="234" customFormat="false" ht="15" hidden="false" customHeight="false" outlineLevel="0" collapsed="false">
      <c r="A234" s="2" t="s">
        <v>73</v>
      </c>
      <c r="B234" s="2" t="n">
        <v>2021</v>
      </c>
      <c r="C234" s="2" t="s">
        <v>77</v>
      </c>
      <c r="D234" s="3" t="n">
        <v>397223</v>
      </c>
      <c r="E234" s="3" t="n">
        <v>362109</v>
      </c>
      <c r="F234" s="2" t="s">
        <v>14</v>
      </c>
      <c r="G234" s="3" t="n">
        <v>912</v>
      </c>
      <c r="H234" s="2" t="s">
        <v>15</v>
      </c>
      <c r="I234" s="2" t="n">
        <v>1000</v>
      </c>
      <c r="J234" s="4" t="n">
        <f aca="false">IFERROR(E234*I234/D234,"")</f>
        <v>911.601291969498</v>
      </c>
      <c r="K234" s="5" t="n">
        <f aca="false">IFERROR((J234-G234)/G234,"")</f>
        <v>-0.000437179858006338</v>
      </c>
      <c r="L234" s="2" t="str">
        <f aca="false">IF(K234="","",IF(ABS(K234)&gt;0.05,"CHECK","OK"))</f>
        <v>OK</v>
      </c>
    </row>
    <row r="235" customFormat="false" ht="15" hidden="false" customHeight="false" outlineLevel="0" collapsed="false">
      <c r="A235" s="2" t="s">
        <v>73</v>
      </c>
      <c r="B235" s="2" t="n">
        <v>2021</v>
      </c>
      <c r="C235" s="2" t="s">
        <v>78</v>
      </c>
      <c r="D235" s="3" t="n">
        <v>59956</v>
      </c>
      <c r="E235" s="3" t="n">
        <v>146132</v>
      </c>
      <c r="F235" s="2" t="s">
        <v>14</v>
      </c>
      <c r="G235" s="3" t="n">
        <v>2437</v>
      </c>
      <c r="H235" s="2" t="s">
        <v>15</v>
      </c>
      <c r="I235" s="2" t="n">
        <v>1000</v>
      </c>
      <c r="J235" s="4" t="n">
        <f aca="false">IFERROR(E235*I235/D235,"")</f>
        <v>2437.32070184802</v>
      </c>
      <c r="K235" s="5" t="n">
        <f aca="false">IFERROR((J235-G235)/G235,"")</f>
        <v>0.000131596983185086</v>
      </c>
      <c r="L235" s="2" t="str">
        <f aca="false">IF(K235="","",IF(ABS(K235)&gt;0.05,"CHECK","OK"))</f>
        <v>OK</v>
      </c>
    </row>
    <row r="236" customFormat="false" ht="15" hidden="false" customHeight="false" outlineLevel="0" collapsed="false">
      <c r="A236" s="2" t="s">
        <v>74</v>
      </c>
      <c r="B236" s="2" t="n">
        <v>2022</v>
      </c>
      <c r="C236" s="2" t="s">
        <v>77</v>
      </c>
      <c r="D236" s="3" t="n">
        <v>360175</v>
      </c>
      <c r="E236" s="3" t="n">
        <v>292694</v>
      </c>
      <c r="F236" s="2" t="s">
        <v>14</v>
      </c>
      <c r="G236" s="3" t="n">
        <v>813</v>
      </c>
      <c r="H236" s="2" t="s">
        <v>15</v>
      </c>
      <c r="I236" s="2" t="n">
        <v>1000</v>
      </c>
      <c r="J236" s="4" t="n">
        <f aca="false">IFERROR(E236*I236/D236,"")</f>
        <v>812.643853682238</v>
      </c>
      <c r="K236" s="5" t="n">
        <f aca="false">IFERROR((J236-G236)/G236,"")</f>
        <v>-0.000438064351490998</v>
      </c>
      <c r="L236" s="2" t="str">
        <f aca="false">IF(K236="","",IF(ABS(K236)&gt;0.05,"CHECK","OK"))</f>
        <v>OK</v>
      </c>
    </row>
    <row r="237" customFormat="false" ht="15" hidden="false" customHeight="false" outlineLevel="0" collapsed="false">
      <c r="A237" s="2" t="s">
        <v>74</v>
      </c>
      <c r="B237" s="2" t="n">
        <v>2022</v>
      </c>
      <c r="C237" s="2" t="s">
        <v>78</v>
      </c>
      <c r="D237" s="3" t="n">
        <v>45088</v>
      </c>
      <c r="E237" s="3" t="n">
        <v>113355</v>
      </c>
      <c r="F237" s="2" t="s">
        <v>14</v>
      </c>
      <c r="G237" s="3" t="n">
        <v>2514</v>
      </c>
      <c r="H237" s="2" t="s">
        <v>15</v>
      </c>
      <c r="I237" s="2" t="n">
        <v>1000</v>
      </c>
      <c r="J237" s="4" t="n">
        <f aca="false">IFERROR(E237*I237/D237,"")</f>
        <v>2514.08356990774</v>
      </c>
      <c r="K237" s="5" t="n">
        <f aca="false">IFERROR((J237-G237)/G237,"")</f>
        <v>3.32418089642368E-005</v>
      </c>
      <c r="L237" s="2" t="str">
        <f aca="false">IF(K237="","",IF(ABS(K237)&gt;0.05,"CHECK","OK"))</f>
        <v>OK</v>
      </c>
    </row>
    <row r="238" customFormat="false" ht="15" hidden="false" customHeight="false" outlineLevel="0" collapsed="false">
      <c r="A238" s="2" t="s">
        <v>75</v>
      </c>
      <c r="B238" s="2" t="n">
        <v>2023</v>
      </c>
      <c r="C238" s="2" t="s">
        <v>77</v>
      </c>
      <c r="D238" s="3" t="n">
        <v>354464</v>
      </c>
      <c r="E238" s="3" t="n">
        <v>286745</v>
      </c>
      <c r="F238" s="2" t="s">
        <v>14</v>
      </c>
      <c r="G238" s="3" t="n">
        <v>809</v>
      </c>
      <c r="H238" s="2" t="s">
        <v>15</v>
      </c>
      <c r="I238" s="2" t="n">
        <v>1000</v>
      </c>
      <c r="J238" s="4" t="n">
        <f aca="false">IFERROR(E238*I238/D238,"")</f>
        <v>808.953800668051</v>
      </c>
      <c r="K238" s="5" t="n">
        <f aca="false">IFERROR((J238-G238)/G238,"")</f>
        <v>-5.71067143993609E-005</v>
      </c>
      <c r="L238" s="2" t="str">
        <f aca="false">IF(K238="","",IF(ABS(K238)&gt;0.05,"CHECK","OK"))</f>
        <v>OK</v>
      </c>
    </row>
    <row r="239" customFormat="false" ht="15" hidden="false" customHeight="false" outlineLevel="0" collapsed="false">
      <c r="A239" s="2" t="s">
        <v>75</v>
      </c>
      <c r="B239" s="2" t="n">
        <v>2023</v>
      </c>
      <c r="C239" s="2" t="s">
        <v>78</v>
      </c>
      <c r="D239" s="3" t="n">
        <v>47858</v>
      </c>
      <c r="E239" s="3" t="n">
        <v>117156</v>
      </c>
      <c r="F239" s="2" t="s">
        <v>14</v>
      </c>
      <c r="G239" s="3" t="n">
        <v>2448</v>
      </c>
      <c r="H239" s="2" t="s">
        <v>15</v>
      </c>
      <c r="I239" s="2" t="n">
        <v>1000</v>
      </c>
      <c r="J239" s="4" t="n">
        <f aca="false">IFERROR(E239*I239/D239,"")</f>
        <v>2447.99197626311</v>
      </c>
      <c r="K239" s="5" t="n">
        <f aca="false">IFERROR((J239-G239)/G239,"")</f>
        <v>-3.27767029754493E-006</v>
      </c>
      <c r="L239" s="2" t="str">
        <f aca="false">IF(K239="","",IF(ABS(K239)&gt;0.05,"CHECK","OK"))</f>
        <v>OK</v>
      </c>
    </row>
    <row r="240" customFormat="false" ht="15" hidden="false" customHeight="false" outlineLevel="0" collapsed="false">
      <c r="A240" s="2" t="s">
        <v>76</v>
      </c>
      <c r="B240" s="2" t="n">
        <v>2024</v>
      </c>
      <c r="C240" s="2" t="s">
        <v>77</v>
      </c>
      <c r="D240" s="3" t="n">
        <v>338576</v>
      </c>
      <c r="E240" s="3" t="n">
        <v>410091</v>
      </c>
      <c r="F240" s="2" t="s">
        <v>14</v>
      </c>
      <c r="G240" s="3" t="n">
        <v>1211</v>
      </c>
      <c r="H240" s="2" t="s">
        <v>15</v>
      </c>
      <c r="I240" s="2" t="n">
        <v>1000</v>
      </c>
      <c r="J240" s="4" t="n">
        <f aca="false">IFERROR(E240*I240/D240,"")</f>
        <v>1211.22288644204</v>
      </c>
      <c r="K240" s="5" t="n">
        <f aca="false">IFERROR((J240-G240)/G240,"")</f>
        <v>0.000184051562377936</v>
      </c>
      <c r="L240" s="2" t="str">
        <f aca="false">IF(K240="","",IF(ABS(K240)&gt;0.05,"CHECK","OK"))</f>
        <v>OK</v>
      </c>
    </row>
    <row r="241" customFormat="false" ht="15" hidden="false" customHeight="false" outlineLevel="0" collapsed="false">
      <c r="A241" s="2" t="s">
        <v>76</v>
      </c>
      <c r="B241" s="2" t="n">
        <v>2024</v>
      </c>
      <c r="C241" s="2" t="s">
        <v>78</v>
      </c>
      <c r="D241" s="3" t="n">
        <v>51865</v>
      </c>
      <c r="E241" s="3" t="n">
        <v>123664</v>
      </c>
      <c r="F241" s="2" t="s">
        <v>14</v>
      </c>
      <c r="G241" s="3" t="n">
        <v>2384</v>
      </c>
      <c r="H241" s="2" t="s">
        <v>15</v>
      </c>
      <c r="I241" s="2" t="n">
        <v>1000</v>
      </c>
      <c r="J241" s="4" t="n">
        <f aca="false">IFERROR(E241*I241/D241,"")</f>
        <v>2384.34396992191</v>
      </c>
      <c r="K241" s="5" t="n">
        <f aca="false">IFERROR((J241-G241)/G241,"")</f>
        <v>0.000144282685365983</v>
      </c>
      <c r="L241" s="2" t="str">
        <f aca="false">IF(K241="","",IF(ABS(K241)&gt;0.05,"CHECK","OK"))</f>
        <v>OK</v>
      </c>
    </row>
    <row r="242" customFormat="false" ht="15" hidden="false" customHeight="false" outlineLevel="0" collapsed="false">
      <c r="A242" s="2" t="s">
        <v>12</v>
      </c>
      <c r="B242" s="2" t="n">
        <v>1965</v>
      </c>
      <c r="C242" s="2" t="s">
        <v>79</v>
      </c>
      <c r="D242" s="3" t="n">
        <v>329966</v>
      </c>
      <c r="E242" s="3" t="n">
        <v>292300</v>
      </c>
      <c r="F242" s="2" t="s">
        <v>14</v>
      </c>
      <c r="G242" s="3" t="n">
        <v>886</v>
      </c>
      <c r="H242" s="2" t="s">
        <v>15</v>
      </c>
      <c r="I242" s="2" t="n">
        <v>1000</v>
      </c>
      <c r="J242" s="4" t="n">
        <f aca="false">IFERROR(E242*I242/D242,"")</f>
        <v>885.848845032519</v>
      </c>
      <c r="K242" s="5" t="n">
        <f aca="false">IFERROR((J242-G242)/G242,"")</f>
        <v>-0.000170603800769175</v>
      </c>
      <c r="L242" s="2" t="str">
        <f aca="false">IF(K242="","",IF(ABS(K242)&gt;0.05,"CHECK","OK"))</f>
        <v>OK</v>
      </c>
    </row>
    <row r="243" customFormat="false" ht="15" hidden="false" customHeight="false" outlineLevel="0" collapsed="false">
      <c r="A243" s="2" t="s">
        <v>12</v>
      </c>
      <c r="B243" s="2" t="n">
        <v>1965</v>
      </c>
      <c r="C243" s="2" t="s">
        <v>80</v>
      </c>
      <c r="D243" s="3" t="n">
        <v>3933</v>
      </c>
      <c r="E243" s="3" t="n">
        <v>4240</v>
      </c>
      <c r="F243" s="2" t="s">
        <v>14</v>
      </c>
      <c r="G243" s="3" t="n">
        <v>1072</v>
      </c>
      <c r="H243" s="2" t="s">
        <v>15</v>
      </c>
      <c r="I243" s="2" t="n">
        <v>1000</v>
      </c>
      <c r="J243" s="4" t="n">
        <f aca="false">IFERROR(E243*I243/D243,"")</f>
        <v>1078.05746249682</v>
      </c>
      <c r="K243" s="5" t="n">
        <f aca="false">IFERROR((J243-G243)/G243,"")</f>
        <v>0.00565061800076651</v>
      </c>
      <c r="L243" s="2" t="str">
        <f aca="false">IF(K243="","",IF(ABS(K243)&gt;0.05,"CHECK","OK"))</f>
        <v>OK</v>
      </c>
    </row>
    <row r="244" customFormat="false" ht="15" hidden="false" customHeight="false" outlineLevel="0" collapsed="false">
      <c r="A244" s="2" t="s">
        <v>18</v>
      </c>
      <c r="B244" s="2" t="n">
        <v>1966</v>
      </c>
      <c r="C244" s="2" t="s">
        <v>79</v>
      </c>
      <c r="D244" s="3" t="n">
        <v>313450</v>
      </c>
      <c r="E244" s="3" t="n">
        <v>322630</v>
      </c>
      <c r="F244" s="2" t="s">
        <v>14</v>
      </c>
      <c r="G244" s="3" t="n">
        <v>1029</v>
      </c>
      <c r="H244" s="2" t="s">
        <v>15</v>
      </c>
      <c r="I244" s="2" t="n">
        <v>1000</v>
      </c>
      <c r="J244" s="4" t="n">
        <f aca="false">IFERROR(E244*I244/D244,"")</f>
        <v>1029.28696761844</v>
      </c>
      <c r="K244" s="5" t="n">
        <f aca="false">IFERROR((J244-G244)/G244,"")</f>
        <v>0.000278880095665725</v>
      </c>
      <c r="L244" s="2" t="str">
        <f aca="false">IF(K244="","",IF(ABS(K244)&gt;0.05,"CHECK","OK"))</f>
        <v>OK</v>
      </c>
    </row>
    <row r="245" customFormat="false" ht="15" hidden="false" customHeight="false" outlineLevel="0" collapsed="false">
      <c r="A245" s="2" t="s">
        <v>18</v>
      </c>
      <c r="B245" s="2" t="n">
        <v>1966</v>
      </c>
      <c r="C245" s="2" t="s">
        <v>80</v>
      </c>
      <c r="D245" s="3" t="n">
        <v>7914</v>
      </c>
      <c r="E245" s="3" t="n">
        <v>8470</v>
      </c>
      <c r="F245" s="2" t="s">
        <v>14</v>
      </c>
      <c r="G245" s="3" t="n">
        <v>1075</v>
      </c>
      <c r="H245" s="2" t="s">
        <v>15</v>
      </c>
      <c r="I245" s="2" t="n">
        <v>1000</v>
      </c>
      <c r="J245" s="4" t="n">
        <f aca="false">IFERROR(E245*I245/D245,"")</f>
        <v>1070.25524387162</v>
      </c>
      <c r="K245" s="5" t="n">
        <f aca="false">IFERROR((J245-G245)/G245,"")</f>
        <v>-0.00441372663105117</v>
      </c>
      <c r="L245" s="2" t="str">
        <f aca="false">IF(K245="","",IF(ABS(K245)&gt;0.05,"CHECK","OK"))</f>
        <v>OK</v>
      </c>
    </row>
    <row r="246" customFormat="false" ht="15" hidden="false" customHeight="false" outlineLevel="0" collapsed="false">
      <c r="A246" s="2" t="s">
        <v>19</v>
      </c>
      <c r="B246" s="2" t="n">
        <v>1967</v>
      </c>
      <c r="C246" s="2" t="s">
        <v>79</v>
      </c>
      <c r="D246" s="3" t="n">
        <v>311753</v>
      </c>
      <c r="E246" s="3" t="n">
        <v>309390</v>
      </c>
      <c r="F246" s="2" t="s">
        <v>14</v>
      </c>
      <c r="G246" s="3" t="n">
        <v>991</v>
      </c>
      <c r="H246" s="2" t="s">
        <v>15</v>
      </c>
      <c r="I246" s="2" t="n">
        <v>1000</v>
      </c>
      <c r="J246" s="4" t="n">
        <f aca="false">IFERROR(E246*I246/D246,"")</f>
        <v>992.420281440756</v>
      </c>
      <c r="K246" s="5" t="n">
        <f aca="false">IFERROR((J246-G246)/G246,"")</f>
        <v>0.00143318006130773</v>
      </c>
      <c r="L246" s="2" t="str">
        <f aca="false">IF(K246="","",IF(ABS(K246)&gt;0.05,"CHECK","OK"))</f>
        <v>OK</v>
      </c>
    </row>
    <row r="247" customFormat="false" ht="15" hidden="false" customHeight="false" outlineLevel="0" collapsed="false">
      <c r="A247" s="2" t="s">
        <v>19</v>
      </c>
      <c r="B247" s="2" t="n">
        <v>1967</v>
      </c>
      <c r="C247" s="2" t="s">
        <v>80</v>
      </c>
      <c r="D247" s="3" t="n">
        <v>10140</v>
      </c>
      <c r="E247" s="3" t="n">
        <v>10700</v>
      </c>
      <c r="F247" s="2" t="s">
        <v>14</v>
      </c>
      <c r="G247" s="3" t="n">
        <v>1053</v>
      </c>
      <c r="H247" s="2" t="s">
        <v>15</v>
      </c>
      <c r="I247" s="2" t="n">
        <v>1000</v>
      </c>
      <c r="J247" s="4" t="n">
        <f aca="false">IFERROR(E247*I247/D247,"")</f>
        <v>1055.22682445759</v>
      </c>
      <c r="K247" s="5" t="n">
        <f aca="false">IFERROR((J247-G247)/G247,"")</f>
        <v>0.00211474307463789</v>
      </c>
      <c r="L247" s="2" t="str">
        <f aca="false">IF(K247="","",IF(ABS(K247)&gt;0.05,"CHECK","OK"))</f>
        <v>OK</v>
      </c>
    </row>
    <row r="248" customFormat="false" ht="15" hidden="false" customHeight="false" outlineLevel="0" collapsed="false">
      <c r="A248" s="2" t="s">
        <v>20</v>
      </c>
      <c r="B248" s="2" t="n">
        <v>1968</v>
      </c>
      <c r="C248" s="2" t="s">
        <v>79</v>
      </c>
      <c r="D248" s="3" t="n">
        <v>300788</v>
      </c>
      <c r="E248" s="3" t="n">
        <v>292480</v>
      </c>
      <c r="F248" s="2" t="s">
        <v>14</v>
      </c>
      <c r="G248" s="3" t="n">
        <v>972</v>
      </c>
      <c r="H248" s="2" t="s">
        <v>15</v>
      </c>
      <c r="I248" s="2" t="n">
        <v>1000</v>
      </c>
      <c r="J248" s="4" t="n">
        <f aca="false">IFERROR(E248*I248/D248,"")</f>
        <v>972.379217256008</v>
      </c>
      <c r="K248" s="5" t="n">
        <f aca="false">IFERROR((J248-G248)/G248,"")</f>
        <v>0.000390141209884325</v>
      </c>
      <c r="L248" s="2" t="str">
        <f aca="false">IF(K248="","",IF(ABS(K248)&gt;0.05,"CHECK","OK"))</f>
        <v>OK</v>
      </c>
    </row>
    <row r="249" customFormat="false" ht="15" hidden="false" customHeight="false" outlineLevel="0" collapsed="false">
      <c r="A249" s="2" t="s">
        <v>20</v>
      </c>
      <c r="B249" s="2" t="n">
        <v>1968</v>
      </c>
      <c r="C249" s="2" t="s">
        <v>80</v>
      </c>
      <c r="D249" s="3" t="n">
        <v>10883</v>
      </c>
      <c r="E249" s="3" t="n">
        <v>11410</v>
      </c>
      <c r="F249" s="2" t="s">
        <v>14</v>
      </c>
      <c r="G249" s="3" t="n">
        <v>1053</v>
      </c>
      <c r="H249" s="2" t="s">
        <v>15</v>
      </c>
      <c r="I249" s="2" t="n">
        <v>1000</v>
      </c>
      <c r="J249" s="4" t="n">
        <f aca="false">IFERROR(E249*I249/D249,"")</f>
        <v>1048.42414775338</v>
      </c>
      <c r="K249" s="5" t="n">
        <f aca="false">IFERROR((J249-G249)/G249,"")</f>
        <v>-0.00434553869574841</v>
      </c>
      <c r="L249" s="2" t="str">
        <f aca="false">IF(K249="","",IF(ABS(K249)&gt;0.05,"CHECK","OK"))</f>
        <v>OK</v>
      </c>
    </row>
    <row r="250" customFormat="false" ht="15" hidden="false" customHeight="false" outlineLevel="0" collapsed="false">
      <c r="A250" s="2" t="s">
        <v>21</v>
      </c>
      <c r="B250" s="2" t="n">
        <v>1969</v>
      </c>
      <c r="C250" s="2" t="s">
        <v>79</v>
      </c>
      <c r="D250" s="3" t="n">
        <v>306794</v>
      </c>
      <c r="E250" s="3" t="n">
        <v>282870</v>
      </c>
      <c r="F250" s="2" t="s">
        <v>14</v>
      </c>
      <c r="G250" s="3" t="n">
        <v>922</v>
      </c>
      <c r="H250" s="2" t="s">
        <v>15</v>
      </c>
      <c r="I250" s="2" t="n">
        <v>1000</v>
      </c>
      <c r="J250" s="4" t="n">
        <f aca="false">IFERROR(E250*I250/D250,"")</f>
        <v>922.019335449846</v>
      </c>
      <c r="K250" s="5" t="n">
        <f aca="false">IFERROR((J250-G250)/G250,"")</f>
        <v>2.09712037373233E-005</v>
      </c>
      <c r="L250" s="2" t="str">
        <f aca="false">IF(K250="","",IF(ABS(K250)&gt;0.05,"CHECK","OK"))</f>
        <v>OK</v>
      </c>
    </row>
    <row r="251" customFormat="false" ht="15" hidden="false" customHeight="false" outlineLevel="0" collapsed="false">
      <c r="A251" s="2" t="s">
        <v>21</v>
      </c>
      <c r="B251" s="2" t="n">
        <v>1969</v>
      </c>
      <c r="C251" s="2" t="s">
        <v>80</v>
      </c>
      <c r="D251" s="3" t="n">
        <v>13882</v>
      </c>
      <c r="E251" s="3" t="n">
        <v>15000</v>
      </c>
      <c r="F251" s="2" t="s">
        <v>14</v>
      </c>
      <c r="G251" s="3" t="n">
        <v>1075</v>
      </c>
      <c r="H251" s="2" t="s">
        <v>15</v>
      </c>
      <c r="I251" s="2" t="n">
        <v>1000</v>
      </c>
      <c r="J251" s="4" t="n">
        <f aca="false">IFERROR(E251*I251/D251,"")</f>
        <v>1080.53594582913</v>
      </c>
      <c r="K251" s="5" t="n">
        <f aca="false">IFERROR((J251-G251)/G251,"")</f>
        <v>0.00514971705035456</v>
      </c>
      <c r="L251" s="2" t="str">
        <f aca="false">IF(K251="","",IF(ABS(K251)&gt;0.05,"CHECK","OK"))</f>
        <v>OK</v>
      </c>
    </row>
    <row r="252" customFormat="false" ht="15" hidden="false" customHeight="false" outlineLevel="0" collapsed="false">
      <c r="A252" s="2" t="s">
        <v>22</v>
      </c>
      <c r="B252" s="2" t="n">
        <v>1970</v>
      </c>
      <c r="C252" s="2" t="s">
        <v>79</v>
      </c>
      <c r="D252" s="3" t="n">
        <v>283405</v>
      </c>
      <c r="E252" s="3" t="n">
        <v>334260</v>
      </c>
      <c r="F252" s="2" t="s">
        <v>14</v>
      </c>
      <c r="G252" s="3" t="n">
        <v>1180</v>
      </c>
      <c r="H252" s="2" t="s">
        <v>15</v>
      </c>
      <c r="I252" s="2" t="n">
        <v>1000</v>
      </c>
      <c r="J252" s="4" t="n">
        <f aca="false">IFERROR(E252*I252/D252,"")</f>
        <v>1179.44284680934</v>
      </c>
      <c r="K252" s="5" t="n">
        <f aca="false">IFERROR((J252-G252)/G252,"")</f>
        <v>-0.000472163720901258</v>
      </c>
      <c r="L252" s="2" t="str">
        <f aca="false">IF(K252="","",IF(ABS(K252)&gt;0.05,"CHECK","OK"))</f>
        <v>OK</v>
      </c>
    </row>
    <row r="253" customFormat="false" ht="15" hidden="false" customHeight="false" outlineLevel="0" collapsed="false">
      <c r="A253" s="2" t="s">
        <v>22</v>
      </c>
      <c r="B253" s="2" t="n">
        <v>1970</v>
      </c>
      <c r="C253" s="2" t="s">
        <v>80</v>
      </c>
      <c r="D253" s="3" t="n">
        <v>14106</v>
      </c>
      <c r="E253" s="3" t="n">
        <v>15500</v>
      </c>
      <c r="F253" s="2" t="s">
        <v>14</v>
      </c>
      <c r="G253" s="3" t="n">
        <v>1098</v>
      </c>
      <c r="H253" s="2" t="s">
        <v>15</v>
      </c>
      <c r="I253" s="2" t="n">
        <v>1000</v>
      </c>
      <c r="J253" s="4" t="n">
        <f aca="false">IFERROR(E253*I253/D253,"")</f>
        <v>1098.8231958032</v>
      </c>
      <c r="K253" s="5" t="n">
        <f aca="false">IFERROR((J253-G253)/G253,"")</f>
        <v>0.000749722953737952</v>
      </c>
      <c r="L253" s="2" t="str">
        <f aca="false">IF(K253="","",IF(ABS(K253)&gt;0.05,"CHECK","OK"))</f>
        <v>OK</v>
      </c>
    </row>
    <row r="254" customFormat="false" ht="15" hidden="false" customHeight="false" outlineLevel="0" collapsed="false">
      <c r="A254" s="2" t="s">
        <v>23</v>
      </c>
      <c r="B254" s="2" t="n">
        <v>1971</v>
      </c>
      <c r="C254" s="2" t="s">
        <v>79</v>
      </c>
      <c r="D254" s="3" t="n">
        <v>292098</v>
      </c>
      <c r="E254" s="3" t="n">
        <v>315270</v>
      </c>
      <c r="F254" s="2" t="s">
        <v>14</v>
      </c>
      <c r="G254" s="3" t="n">
        <v>1079</v>
      </c>
      <c r="H254" s="2" t="s">
        <v>15</v>
      </c>
      <c r="I254" s="2" t="n">
        <v>1000</v>
      </c>
      <c r="J254" s="4" t="n">
        <f aca="false">IFERROR(E254*I254/D254,"")</f>
        <v>1079.32954008586</v>
      </c>
      <c r="K254" s="5" t="n">
        <f aca="false">IFERROR((J254-G254)/G254,"")</f>
        <v>0.000305412498481447</v>
      </c>
      <c r="L254" s="2" t="str">
        <f aca="false">IF(K254="","",IF(ABS(K254)&gt;0.05,"CHECK","OK"))</f>
        <v>OK</v>
      </c>
    </row>
    <row r="255" customFormat="false" ht="15" hidden="false" customHeight="false" outlineLevel="0" collapsed="false">
      <c r="A255" s="2" t="s">
        <v>23</v>
      </c>
      <c r="B255" s="2" t="n">
        <v>1971</v>
      </c>
      <c r="C255" s="2" t="s">
        <v>80</v>
      </c>
      <c r="D255" s="3" t="n">
        <v>13599</v>
      </c>
      <c r="E255" s="3" t="n">
        <v>14920</v>
      </c>
      <c r="F255" s="2" t="s">
        <v>14</v>
      </c>
      <c r="G255" s="3" t="n">
        <v>1098</v>
      </c>
      <c r="H255" s="2" t="s">
        <v>15</v>
      </c>
      <c r="I255" s="2" t="n">
        <v>1000</v>
      </c>
      <c r="J255" s="4" t="n">
        <f aca="false">IFERROR(E255*I255/D255,"")</f>
        <v>1097.13949555114</v>
      </c>
      <c r="K255" s="5" t="n">
        <f aca="false">IFERROR((J255-G255)/G255,"")</f>
        <v>-0.000783701683840205</v>
      </c>
      <c r="L255" s="2" t="str">
        <f aca="false">IF(K255="","",IF(ABS(K255)&gt;0.05,"CHECK","OK"))</f>
        <v>OK</v>
      </c>
    </row>
    <row r="256" customFormat="false" ht="15" hidden="false" customHeight="false" outlineLevel="0" collapsed="false">
      <c r="A256" s="2" t="s">
        <v>24</v>
      </c>
      <c r="B256" s="2" t="n">
        <v>1972</v>
      </c>
      <c r="C256" s="2" t="s">
        <v>79</v>
      </c>
      <c r="D256" s="3" t="n">
        <v>278903</v>
      </c>
      <c r="E256" s="3" t="n">
        <v>289480</v>
      </c>
      <c r="F256" s="2" t="s">
        <v>14</v>
      </c>
      <c r="G256" s="3" t="n">
        <v>1038</v>
      </c>
      <c r="H256" s="2" t="s">
        <v>15</v>
      </c>
      <c r="I256" s="2" t="n">
        <v>1000</v>
      </c>
      <c r="J256" s="4" t="n">
        <f aca="false">IFERROR(E256*I256/D256,"")</f>
        <v>1037.92357916552</v>
      </c>
      <c r="K256" s="5" t="n">
        <f aca="false">IFERROR((J256-G256)/G256,"")</f>
        <v>-7.36231546086414E-005</v>
      </c>
      <c r="L256" s="2" t="str">
        <f aca="false">IF(K256="","",IF(ABS(K256)&gt;0.05,"CHECK","OK"))</f>
        <v>OK</v>
      </c>
    </row>
    <row r="257" customFormat="false" ht="15" hidden="false" customHeight="false" outlineLevel="0" collapsed="false">
      <c r="A257" s="2" t="s">
        <v>24</v>
      </c>
      <c r="B257" s="2" t="n">
        <v>1972</v>
      </c>
      <c r="C257" s="2" t="s">
        <v>80</v>
      </c>
      <c r="D257" s="3" t="n">
        <v>15437</v>
      </c>
      <c r="E257" s="3" t="n">
        <v>16430</v>
      </c>
      <c r="F257" s="2" t="s">
        <v>14</v>
      </c>
      <c r="G257" s="3" t="n">
        <v>1064</v>
      </c>
      <c r="H257" s="2" t="s">
        <v>15</v>
      </c>
      <c r="I257" s="2" t="n">
        <v>1000</v>
      </c>
      <c r="J257" s="4" t="n">
        <f aca="false">IFERROR(E257*I257/D257,"")</f>
        <v>1064.32597007191</v>
      </c>
      <c r="K257" s="5" t="n">
        <f aca="false">IFERROR((J257-G257)/G257,"")</f>
        <v>0.000306362849534966</v>
      </c>
      <c r="L257" s="2" t="str">
        <f aca="false">IF(K257="","",IF(ABS(K257)&gt;0.05,"CHECK","OK"))</f>
        <v>OK</v>
      </c>
    </row>
    <row r="258" customFormat="false" ht="15" hidden="false" customHeight="false" outlineLevel="0" collapsed="false">
      <c r="A258" s="2" t="s">
        <v>25</v>
      </c>
      <c r="B258" s="2" t="n">
        <v>1973</v>
      </c>
      <c r="C258" s="2" t="s">
        <v>79</v>
      </c>
      <c r="D258" s="3" t="n">
        <v>263107</v>
      </c>
      <c r="E258" s="3" t="n">
        <v>317380</v>
      </c>
      <c r="F258" s="2" t="s">
        <v>14</v>
      </c>
      <c r="G258" s="3" t="n">
        <v>1206</v>
      </c>
      <c r="H258" s="2" t="s">
        <v>15</v>
      </c>
      <c r="I258" s="2" t="n">
        <v>1000</v>
      </c>
      <c r="J258" s="4" t="n">
        <f aca="false">IFERROR(E258*I258/D258,"")</f>
        <v>1206.27729402867</v>
      </c>
      <c r="K258" s="5" t="n">
        <f aca="false">IFERROR((J258-G258)/G258,"")</f>
        <v>0.000229928713652745</v>
      </c>
      <c r="L258" s="2" t="str">
        <f aca="false">IF(K258="","",IF(ABS(K258)&gt;0.05,"CHECK","OK"))</f>
        <v>OK</v>
      </c>
    </row>
    <row r="259" customFormat="false" ht="15" hidden="false" customHeight="false" outlineLevel="0" collapsed="false">
      <c r="A259" s="2" t="s">
        <v>25</v>
      </c>
      <c r="B259" s="2" t="n">
        <v>1973</v>
      </c>
      <c r="C259" s="2" t="s">
        <v>80</v>
      </c>
      <c r="D259" s="3" t="n">
        <v>18960</v>
      </c>
      <c r="E259" s="3" t="n">
        <v>20380</v>
      </c>
      <c r="F259" s="2" t="s">
        <v>14</v>
      </c>
      <c r="G259" s="3" t="n">
        <v>1053</v>
      </c>
      <c r="H259" s="2" t="s">
        <v>15</v>
      </c>
      <c r="I259" s="2" t="n">
        <v>1000</v>
      </c>
      <c r="J259" s="4" t="n">
        <f aca="false">IFERROR(E259*I259/D259,"")</f>
        <v>1074.89451476793</v>
      </c>
      <c r="K259" s="5" t="n">
        <f aca="false">IFERROR((J259-G259)/G259,"")</f>
        <v>0.0207925116504581</v>
      </c>
      <c r="L259" s="2" t="str">
        <f aca="false">IF(K259="","",IF(ABS(K259)&gt;0.05,"CHECK","OK"))</f>
        <v>OK</v>
      </c>
    </row>
    <row r="260" customFormat="false" ht="15" hidden="false" customHeight="false" outlineLevel="0" collapsed="false">
      <c r="A260" s="2" t="s">
        <v>26</v>
      </c>
      <c r="B260" s="2" t="n">
        <v>1974</v>
      </c>
      <c r="C260" s="2" t="s">
        <v>79</v>
      </c>
      <c r="D260" s="3" t="n">
        <v>282593</v>
      </c>
      <c r="E260" s="3" t="n">
        <v>347690</v>
      </c>
      <c r="F260" s="2" t="s">
        <v>14</v>
      </c>
      <c r="G260" s="3" t="n">
        <v>1230</v>
      </c>
      <c r="H260" s="2" t="s">
        <v>15</v>
      </c>
      <c r="I260" s="2" t="n">
        <v>1000</v>
      </c>
      <c r="J260" s="4" t="n">
        <f aca="false">IFERROR(E260*I260/D260,"")</f>
        <v>1230.35602438843</v>
      </c>
      <c r="K260" s="5" t="n">
        <f aca="false">IFERROR((J260-G260)/G260,"")</f>
        <v>0.000289450722302015</v>
      </c>
      <c r="L260" s="2" t="str">
        <f aca="false">IF(K260="","",IF(ABS(K260)&gt;0.05,"CHECK","OK"))</f>
        <v>OK</v>
      </c>
    </row>
    <row r="261" customFormat="false" ht="15" hidden="false" customHeight="false" outlineLevel="0" collapsed="false">
      <c r="A261" s="2" t="s">
        <v>26</v>
      </c>
      <c r="B261" s="2" t="n">
        <v>1974</v>
      </c>
      <c r="C261" s="2" t="s">
        <v>80</v>
      </c>
      <c r="D261" s="3" t="n">
        <v>17959</v>
      </c>
      <c r="E261" s="3" t="n">
        <v>11590</v>
      </c>
      <c r="F261" s="2" t="s">
        <v>14</v>
      </c>
      <c r="G261" s="3" t="n">
        <v>646</v>
      </c>
      <c r="H261" s="2" t="s">
        <v>15</v>
      </c>
      <c r="I261" s="2" t="n">
        <v>1000</v>
      </c>
      <c r="J261" s="4" t="n">
        <f aca="false">IFERROR(E261*I261/D261,"")</f>
        <v>645.358872988474</v>
      </c>
      <c r="K261" s="5" t="n">
        <f aca="false">IFERROR((J261-G261)/G261,"")</f>
        <v>-0.000992456674189221</v>
      </c>
      <c r="L261" s="2" t="str">
        <f aca="false">IF(K261="","",IF(ABS(K261)&gt;0.05,"CHECK","OK"))</f>
        <v>OK</v>
      </c>
    </row>
    <row r="262" customFormat="false" ht="15" hidden="false" customHeight="false" outlineLevel="0" collapsed="false">
      <c r="A262" s="2" t="s">
        <v>27</v>
      </c>
      <c r="B262" s="2" t="n">
        <v>1975</v>
      </c>
      <c r="C262" s="2" t="s">
        <v>79</v>
      </c>
      <c r="D262" s="3" t="n">
        <v>319861</v>
      </c>
      <c r="E262" s="3" t="n">
        <v>480780</v>
      </c>
      <c r="F262" s="2" t="s">
        <v>14</v>
      </c>
      <c r="G262" s="3" t="n">
        <v>1503</v>
      </c>
      <c r="H262" s="2" t="s">
        <v>15</v>
      </c>
      <c r="I262" s="2" t="n">
        <v>1000</v>
      </c>
      <c r="J262" s="4" t="n">
        <f aca="false">IFERROR(E262*I262/D262,"")</f>
        <v>1503.09040489463</v>
      </c>
      <c r="K262" s="5" t="n">
        <f aca="false">IFERROR((J262-G262)/G262,"")</f>
        <v>6.01496304897472E-005</v>
      </c>
      <c r="L262" s="2" t="str">
        <f aca="false">IF(K262="","",IF(ABS(K262)&gt;0.05,"CHECK","OK"))</f>
        <v>OK</v>
      </c>
    </row>
    <row r="263" customFormat="false" ht="15" hidden="false" customHeight="false" outlineLevel="0" collapsed="false">
      <c r="A263" s="2" t="s">
        <v>27</v>
      </c>
      <c r="B263" s="2" t="n">
        <v>1975</v>
      </c>
      <c r="C263" s="2" t="s">
        <v>80</v>
      </c>
      <c r="D263" s="3" t="n">
        <v>24964</v>
      </c>
      <c r="E263" s="3" t="n">
        <v>26540</v>
      </c>
      <c r="F263" s="2" t="s">
        <v>14</v>
      </c>
      <c r="G263" s="3" t="n">
        <v>1064</v>
      </c>
      <c r="H263" s="2" t="s">
        <v>15</v>
      </c>
      <c r="I263" s="2" t="n">
        <v>1000</v>
      </c>
      <c r="J263" s="4" t="n">
        <f aca="false">IFERROR(E263*I263/D263,"")</f>
        <v>1063.13090850825</v>
      </c>
      <c r="K263" s="5" t="n">
        <f aca="false">IFERROR((J263-G263)/G263,"")</f>
        <v>-0.000816815311793348</v>
      </c>
      <c r="L263" s="2" t="str">
        <f aca="false">IF(K263="","",IF(ABS(K263)&gt;0.05,"CHECK","OK"))</f>
        <v>OK</v>
      </c>
    </row>
    <row r="264" customFormat="false" ht="15" hidden="false" customHeight="false" outlineLevel="0" collapsed="false">
      <c r="A264" s="2" t="s">
        <v>28</v>
      </c>
      <c r="B264" s="2" t="n">
        <v>1976</v>
      </c>
      <c r="C264" s="2" t="s">
        <v>79</v>
      </c>
      <c r="D264" s="3" t="n">
        <v>290283</v>
      </c>
      <c r="E264" s="3" t="n">
        <v>333670</v>
      </c>
      <c r="F264" s="2" t="s">
        <v>14</v>
      </c>
      <c r="G264" s="3" t="n">
        <v>1149</v>
      </c>
      <c r="H264" s="2" t="s">
        <v>15</v>
      </c>
      <c r="I264" s="2" t="n">
        <v>1000</v>
      </c>
      <c r="J264" s="4" t="n">
        <f aca="false">IFERROR(E264*I264/D264,"")</f>
        <v>1149.46448810299</v>
      </c>
      <c r="K264" s="5" t="n">
        <f aca="false">IFERROR((J264-G264)/G264,"")</f>
        <v>0.000404254223663366</v>
      </c>
      <c r="L264" s="2" t="str">
        <f aca="false">IF(K264="","",IF(ABS(K264)&gt;0.05,"CHECK","OK"))</f>
        <v>OK</v>
      </c>
    </row>
    <row r="265" customFormat="false" ht="15" hidden="false" customHeight="false" outlineLevel="0" collapsed="false">
      <c r="A265" s="2" t="s">
        <v>28</v>
      </c>
      <c r="B265" s="2" t="n">
        <v>1976</v>
      </c>
      <c r="C265" s="2" t="s">
        <v>80</v>
      </c>
      <c r="D265" s="3" t="n">
        <v>19192</v>
      </c>
      <c r="E265" s="3" t="n">
        <v>20510</v>
      </c>
      <c r="F265" s="2" t="s">
        <v>14</v>
      </c>
      <c r="G265" s="3" t="n">
        <v>1064</v>
      </c>
      <c r="H265" s="2" t="s">
        <v>15</v>
      </c>
      <c r="I265" s="2" t="n">
        <v>1000</v>
      </c>
      <c r="J265" s="4" t="n">
        <f aca="false">IFERROR(E265*I265/D265,"")</f>
        <v>1068.67444768654</v>
      </c>
      <c r="K265" s="5" t="n">
        <f aca="false">IFERROR((J265-G265)/G265,"")</f>
        <v>0.00439327790087974</v>
      </c>
      <c r="L265" s="2" t="str">
        <f aca="false">IF(K265="","",IF(ABS(K265)&gt;0.05,"CHECK","OK"))</f>
        <v>OK</v>
      </c>
    </row>
    <row r="266" customFormat="false" ht="15" hidden="false" customHeight="false" outlineLevel="0" collapsed="false">
      <c r="A266" s="2" t="s">
        <v>29</v>
      </c>
      <c r="B266" s="2" t="n">
        <v>1977</v>
      </c>
      <c r="C266" s="2" t="s">
        <v>79</v>
      </c>
      <c r="D266" s="3" t="n">
        <v>290799</v>
      </c>
      <c r="E266" s="3" t="n">
        <v>410320</v>
      </c>
      <c r="F266" s="2" t="s">
        <v>14</v>
      </c>
      <c r="G266" s="3" t="n">
        <v>1411</v>
      </c>
      <c r="H266" s="2" t="s">
        <v>15</v>
      </c>
      <c r="I266" s="2" t="n">
        <v>1000</v>
      </c>
      <c r="J266" s="4" t="n">
        <f aca="false">IFERROR(E266*I266/D266,"")</f>
        <v>1411.00897871038</v>
      </c>
      <c r="K266" s="5" t="n">
        <f aca="false">IFERROR((J266-G266)/G266,"")</f>
        <v>6.36336667660413E-006</v>
      </c>
      <c r="L266" s="2" t="str">
        <f aca="false">IF(K266="","",IF(ABS(K266)&gt;0.05,"CHECK","OK"))</f>
        <v>OK</v>
      </c>
    </row>
    <row r="267" customFormat="false" ht="15" hidden="false" customHeight="false" outlineLevel="0" collapsed="false">
      <c r="A267" s="2" t="s">
        <v>29</v>
      </c>
      <c r="B267" s="2" t="n">
        <v>1977</v>
      </c>
      <c r="C267" s="2" t="s">
        <v>80</v>
      </c>
      <c r="D267" s="3" t="n">
        <v>17933</v>
      </c>
      <c r="E267" s="3" t="n">
        <v>18870</v>
      </c>
      <c r="F267" s="2" t="s">
        <v>14</v>
      </c>
      <c r="G267" s="3" t="n">
        <v>1053</v>
      </c>
      <c r="H267" s="2" t="s">
        <v>15</v>
      </c>
      <c r="I267" s="2" t="n">
        <v>1000</v>
      </c>
      <c r="J267" s="4" t="n">
        <f aca="false">IFERROR(E267*I267/D267,"")</f>
        <v>1052.25004182234</v>
      </c>
      <c r="K267" s="5" t="n">
        <f aca="false">IFERROR((J267-G267)/G267,"")</f>
        <v>-0.000712210994929968</v>
      </c>
      <c r="L267" s="2" t="str">
        <f aca="false">IF(K267="","",IF(ABS(K267)&gt;0.05,"CHECK","OK"))</f>
        <v>OK</v>
      </c>
    </row>
    <row r="268" customFormat="false" ht="15" hidden="false" customHeight="false" outlineLevel="0" collapsed="false">
      <c r="A268" s="2" t="s">
        <v>30</v>
      </c>
      <c r="B268" s="2" t="n">
        <v>1978</v>
      </c>
      <c r="C268" s="2" t="s">
        <v>79</v>
      </c>
      <c r="D268" s="3" t="n">
        <v>279917</v>
      </c>
      <c r="E268" s="3" t="n">
        <v>420430</v>
      </c>
      <c r="F268" s="2" t="s">
        <v>14</v>
      </c>
      <c r="G268" s="3" t="n">
        <v>1502</v>
      </c>
      <c r="H268" s="2" t="s">
        <v>15</v>
      </c>
      <c r="I268" s="2" t="n">
        <v>1000</v>
      </c>
      <c r="J268" s="4" t="n">
        <f aca="false">IFERROR(E268*I268/D268,"")</f>
        <v>1501.98094435136</v>
      </c>
      <c r="K268" s="5" t="n">
        <f aca="false">IFERROR((J268-G268)/G268,"")</f>
        <v>-1.26868499591487E-005</v>
      </c>
      <c r="L268" s="2" t="str">
        <f aca="false">IF(K268="","",IF(ABS(K268)&gt;0.05,"CHECK","OK"))</f>
        <v>OK</v>
      </c>
    </row>
    <row r="269" customFormat="false" ht="15" hidden="false" customHeight="false" outlineLevel="0" collapsed="false">
      <c r="A269" s="2" t="s">
        <v>30</v>
      </c>
      <c r="B269" s="2" t="n">
        <v>1978</v>
      </c>
      <c r="C269" s="2" t="s">
        <v>80</v>
      </c>
      <c r="D269" s="3" t="n">
        <v>21588</v>
      </c>
      <c r="E269" s="3" t="n">
        <v>23170</v>
      </c>
      <c r="F269" s="2" t="s">
        <v>14</v>
      </c>
      <c r="G269" s="3" t="n">
        <v>1075</v>
      </c>
      <c r="H269" s="2" t="s">
        <v>15</v>
      </c>
      <c r="I269" s="2" t="n">
        <v>1000</v>
      </c>
      <c r="J269" s="4" t="n">
        <f aca="false">IFERROR(E269*I269/D269,"")</f>
        <v>1073.28145265888</v>
      </c>
      <c r="K269" s="5" t="n">
        <f aca="false">IFERROR((J269-G269)/G269,"")</f>
        <v>-0.00159864868940975</v>
      </c>
      <c r="L269" s="2" t="str">
        <f aca="false">IF(K269="","",IF(ABS(K269)&gt;0.05,"CHECK","OK"))</f>
        <v>OK</v>
      </c>
    </row>
    <row r="270" customFormat="false" ht="15" hidden="false" customHeight="false" outlineLevel="0" collapsed="false">
      <c r="A270" s="2" t="s">
        <v>31</v>
      </c>
      <c r="B270" s="2" t="n">
        <v>1979</v>
      </c>
      <c r="C270" s="2" t="s">
        <v>79</v>
      </c>
      <c r="D270" s="3" t="n">
        <v>252217</v>
      </c>
      <c r="E270" s="3" t="n">
        <v>356650</v>
      </c>
      <c r="F270" s="2" t="s">
        <v>14</v>
      </c>
      <c r="G270" s="3" t="n">
        <v>1414</v>
      </c>
      <c r="H270" s="2" t="s">
        <v>15</v>
      </c>
      <c r="I270" s="2" t="n">
        <v>1000</v>
      </c>
      <c r="J270" s="4" t="n">
        <f aca="false">IFERROR(E270*I270/D270,"")</f>
        <v>1414.06011490106</v>
      </c>
      <c r="K270" s="5" t="n">
        <f aca="false">IFERROR((J270-G270)/G270,"")</f>
        <v>4.25140742980423E-005</v>
      </c>
      <c r="L270" s="2" t="str">
        <f aca="false">IF(K270="","",IF(ABS(K270)&gt;0.05,"CHECK","OK"))</f>
        <v>OK</v>
      </c>
    </row>
    <row r="271" customFormat="false" ht="15" hidden="false" customHeight="false" outlineLevel="0" collapsed="false">
      <c r="A271" s="2" t="s">
        <v>31</v>
      </c>
      <c r="B271" s="2" t="n">
        <v>1979</v>
      </c>
      <c r="C271" s="2" t="s">
        <v>80</v>
      </c>
      <c r="D271" s="3" t="n">
        <v>23206</v>
      </c>
      <c r="E271" s="3" t="n">
        <v>25020</v>
      </c>
      <c r="F271" s="2" t="s">
        <v>14</v>
      </c>
      <c r="G271" s="3" t="n">
        <v>1075</v>
      </c>
      <c r="H271" s="2" t="s">
        <v>15</v>
      </c>
      <c r="I271" s="2" t="n">
        <v>1000</v>
      </c>
      <c r="J271" s="4" t="n">
        <f aca="false">IFERROR(E271*I271/D271,"")</f>
        <v>1078.16943893821</v>
      </c>
      <c r="K271" s="5" t="n">
        <f aca="false">IFERROR((J271-G271)/G271,"")</f>
        <v>0.00294831529135398</v>
      </c>
      <c r="L271" s="2" t="str">
        <f aca="false">IF(K271="","",IF(ABS(K271)&gt;0.05,"CHECK","OK"))</f>
        <v>OK</v>
      </c>
    </row>
    <row r="272" customFormat="false" ht="15" hidden="false" customHeight="false" outlineLevel="0" collapsed="false">
      <c r="A272" s="2" t="s">
        <v>32</v>
      </c>
      <c r="B272" s="2" t="n">
        <v>1980</v>
      </c>
      <c r="C272" s="2" t="s">
        <v>79</v>
      </c>
      <c r="D272" s="3" t="n">
        <v>196586</v>
      </c>
      <c r="E272" s="3" t="n">
        <v>258290</v>
      </c>
      <c r="F272" s="2" t="s">
        <v>14</v>
      </c>
      <c r="G272" s="3" t="n">
        <v>1314</v>
      </c>
      <c r="H272" s="2" t="s">
        <v>15</v>
      </c>
      <c r="I272" s="2" t="n">
        <v>1000</v>
      </c>
      <c r="J272" s="4" t="n">
        <f aca="false">IFERROR(E272*I272/D272,"")</f>
        <v>1313.87789567924</v>
      </c>
      <c r="K272" s="5" t="n">
        <f aca="false">IFERROR((J272-G272)/G272,"")</f>
        <v>-9.29256626753406E-005</v>
      </c>
      <c r="L272" s="2" t="str">
        <f aca="false">IF(K272="","",IF(ABS(K272)&gt;0.05,"CHECK","OK"))</f>
        <v>OK</v>
      </c>
    </row>
    <row r="273" customFormat="false" ht="15" hidden="false" customHeight="false" outlineLevel="0" collapsed="false">
      <c r="A273" s="2" t="s">
        <v>32</v>
      </c>
      <c r="B273" s="2" t="n">
        <v>1980</v>
      </c>
      <c r="C273" s="2" t="s">
        <v>80</v>
      </c>
      <c r="D273" s="3" t="n">
        <v>18787</v>
      </c>
      <c r="E273" s="3" t="n">
        <v>20170</v>
      </c>
      <c r="F273" s="2" t="s">
        <v>14</v>
      </c>
      <c r="G273" s="3" t="n">
        <v>1074</v>
      </c>
      <c r="H273" s="2" t="s">
        <v>15</v>
      </c>
      <c r="I273" s="2" t="n">
        <v>1000</v>
      </c>
      <c r="J273" s="4" t="n">
        <f aca="false">IFERROR(E273*I273/D273,"")</f>
        <v>1073.61473359238</v>
      </c>
      <c r="K273" s="5" t="n">
        <f aca="false">IFERROR((J273-G273)/G273,"")</f>
        <v>-0.00035872104992769</v>
      </c>
      <c r="L273" s="2" t="str">
        <f aca="false">IF(K273="","",IF(ABS(K273)&gt;0.05,"CHECK","OK"))</f>
        <v>OK</v>
      </c>
    </row>
    <row r="274" customFormat="false" ht="15" hidden="false" customHeight="false" outlineLevel="0" collapsed="false">
      <c r="A274" s="2" t="s">
        <v>33</v>
      </c>
      <c r="B274" s="2" t="n">
        <v>1981</v>
      </c>
      <c r="C274" s="2" t="s">
        <v>79</v>
      </c>
      <c r="D274" s="3" t="n">
        <v>212191</v>
      </c>
      <c r="E274" s="3" t="n">
        <v>377310</v>
      </c>
      <c r="F274" s="2" t="s">
        <v>14</v>
      </c>
      <c r="G274" s="3" t="n">
        <v>1778</v>
      </c>
      <c r="H274" s="2" t="s">
        <v>15</v>
      </c>
      <c r="I274" s="2" t="n">
        <v>1000</v>
      </c>
      <c r="J274" s="4" t="n">
        <f aca="false">IFERROR(E274*I274/D274,"")</f>
        <v>1778.16212751719</v>
      </c>
      <c r="K274" s="5" t="n">
        <f aca="false">IFERROR((J274-G274)/G274,"")</f>
        <v>9.11853302529101E-005</v>
      </c>
      <c r="L274" s="2" t="str">
        <f aca="false">IF(K274="","",IF(ABS(K274)&gt;0.05,"CHECK","OK"))</f>
        <v>OK</v>
      </c>
    </row>
    <row r="275" customFormat="false" ht="15" hidden="false" customHeight="false" outlineLevel="0" collapsed="false">
      <c r="A275" s="2" t="s">
        <v>33</v>
      </c>
      <c r="B275" s="2" t="n">
        <v>1981</v>
      </c>
      <c r="C275" s="2" t="s">
        <v>80</v>
      </c>
      <c r="D275" s="3" t="n">
        <v>24437</v>
      </c>
      <c r="E275" s="3" t="n">
        <v>26220</v>
      </c>
      <c r="F275" s="2" t="s">
        <v>14</v>
      </c>
      <c r="G275" s="3" t="n">
        <v>1073</v>
      </c>
      <c r="H275" s="2" t="s">
        <v>15</v>
      </c>
      <c r="I275" s="2" t="n">
        <v>1000</v>
      </c>
      <c r="J275" s="4" t="n">
        <f aca="false">IFERROR(E275*I275/D275,"")</f>
        <v>1072.9631296804</v>
      </c>
      <c r="K275" s="5" t="n">
        <f aca="false">IFERROR((J275-G275)/G275,"")</f>
        <v>-3.43619008362122E-005</v>
      </c>
      <c r="L275" s="2" t="str">
        <f aca="false">IF(K275="","",IF(ABS(K275)&gt;0.05,"CHECK","OK"))</f>
        <v>OK</v>
      </c>
    </row>
    <row r="276" customFormat="false" ht="15" hidden="false" customHeight="false" outlineLevel="0" collapsed="false">
      <c r="A276" s="2" t="s">
        <v>34</v>
      </c>
      <c r="B276" s="2" t="n">
        <v>1982</v>
      </c>
      <c r="C276" s="2" t="s">
        <v>79</v>
      </c>
      <c r="D276" s="3" t="n">
        <v>176174</v>
      </c>
      <c r="E276" s="3" t="n">
        <v>219790</v>
      </c>
      <c r="F276" s="2" t="s">
        <v>14</v>
      </c>
      <c r="G276" s="3" t="n">
        <v>1247</v>
      </c>
      <c r="H276" s="2" t="s">
        <v>15</v>
      </c>
      <c r="I276" s="2" t="n">
        <v>1000</v>
      </c>
      <c r="J276" s="4" t="n">
        <f aca="false">IFERROR(E276*I276/D276,"")</f>
        <v>1247.57342173079</v>
      </c>
      <c r="K276" s="5" t="n">
        <f aca="false">IFERROR((J276-G276)/G276,"")</f>
        <v>0.00045984100303835</v>
      </c>
      <c r="L276" s="2" t="str">
        <f aca="false">IF(K276="","",IF(ABS(K276)&gt;0.05,"CHECK","OK"))</f>
        <v>OK</v>
      </c>
    </row>
    <row r="277" customFormat="false" ht="15" hidden="false" customHeight="false" outlineLevel="0" collapsed="false">
      <c r="A277" s="2" t="s">
        <v>34</v>
      </c>
      <c r="B277" s="2" t="n">
        <v>1982</v>
      </c>
      <c r="C277" s="2" t="s">
        <v>80</v>
      </c>
      <c r="D277" s="3" t="n">
        <v>18235</v>
      </c>
      <c r="E277" s="3" t="n">
        <v>40510</v>
      </c>
      <c r="F277" s="2" t="s">
        <v>14</v>
      </c>
      <c r="G277" s="3" t="n">
        <v>2221</v>
      </c>
      <c r="H277" s="2" t="s">
        <v>15</v>
      </c>
      <c r="I277" s="2" t="n">
        <v>1000</v>
      </c>
      <c r="J277" s="4" t="n">
        <f aca="false">IFERROR(E277*I277/D277,"")</f>
        <v>2221.55196051549</v>
      </c>
      <c r="K277" s="5" t="n">
        <f aca="false">IFERROR((J277-G277)/G277,"")</f>
        <v>0.000248518917376084</v>
      </c>
      <c r="L277" s="2" t="str">
        <f aca="false">IF(K277="","",IF(ABS(K277)&gt;0.05,"CHECK","OK"))</f>
        <v>OK</v>
      </c>
    </row>
    <row r="278" customFormat="false" ht="15" hidden="false" customHeight="false" outlineLevel="0" collapsed="false">
      <c r="A278" s="2" t="s">
        <v>35</v>
      </c>
      <c r="B278" s="2" t="n">
        <v>1983</v>
      </c>
      <c r="C278" s="2" t="s">
        <v>79</v>
      </c>
      <c r="D278" s="3" t="n">
        <v>200550</v>
      </c>
      <c r="E278" s="3" t="n">
        <v>254830</v>
      </c>
      <c r="F278" s="2" t="s">
        <v>14</v>
      </c>
      <c r="G278" s="3" t="n">
        <v>1271</v>
      </c>
      <c r="H278" s="2" t="s">
        <v>15</v>
      </c>
      <c r="I278" s="2" t="n">
        <v>1000</v>
      </c>
      <c r="J278" s="4" t="n">
        <f aca="false">IFERROR(E278*I278/D278,"")</f>
        <v>1270.65569683371</v>
      </c>
      <c r="K278" s="5" t="n">
        <f aca="false">IFERROR((J278-G278)/G278,"")</f>
        <v>-0.000270891554911704</v>
      </c>
      <c r="L278" s="2" t="str">
        <f aca="false">IF(K278="","",IF(ABS(K278)&gt;0.05,"CHECK","OK"))</f>
        <v>OK</v>
      </c>
    </row>
    <row r="279" customFormat="false" ht="15" hidden="false" customHeight="false" outlineLevel="0" collapsed="false">
      <c r="A279" s="2" t="s">
        <v>35</v>
      </c>
      <c r="B279" s="2" t="n">
        <v>1983</v>
      </c>
      <c r="C279" s="2" t="s">
        <v>80</v>
      </c>
      <c r="D279" s="3" t="n">
        <v>16246</v>
      </c>
      <c r="E279" s="3" t="n">
        <v>40160</v>
      </c>
      <c r="F279" s="2" t="s">
        <v>14</v>
      </c>
      <c r="G279" s="3" t="n">
        <v>2473</v>
      </c>
      <c r="H279" s="2" t="s">
        <v>15</v>
      </c>
      <c r="I279" s="2" t="n">
        <v>1000</v>
      </c>
      <c r="J279" s="4" t="n">
        <f aca="false">IFERROR(E279*I279/D279,"")</f>
        <v>2471.99310599532</v>
      </c>
      <c r="K279" s="5" t="n">
        <f aca="false">IFERROR((J279-G279)/G279,"")</f>
        <v>-0.000407154874516008</v>
      </c>
      <c r="L279" s="2" t="str">
        <f aca="false">IF(K279="","",IF(ABS(K279)&gt;0.05,"CHECK","OK"))</f>
        <v>OK</v>
      </c>
    </row>
    <row r="280" customFormat="false" ht="15" hidden="false" customHeight="false" outlineLevel="0" collapsed="false">
      <c r="A280" s="2" t="s">
        <v>36</v>
      </c>
      <c r="B280" s="2" t="n">
        <v>1984</v>
      </c>
      <c r="C280" s="2" t="s">
        <v>79</v>
      </c>
      <c r="D280" s="3" t="n">
        <v>202850</v>
      </c>
      <c r="E280" s="3" t="n">
        <v>247340</v>
      </c>
      <c r="F280" s="2" t="s">
        <v>14</v>
      </c>
      <c r="G280" s="3" t="n">
        <v>1219</v>
      </c>
      <c r="H280" s="2" t="s">
        <v>15</v>
      </c>
      <c r="I280" s="2" t="n">
        <v>1000</v>
      </c>
      <c r="J280" s="4" t="n">
        <f aca="false">IFERROR(E280*I280/D280,"")</f>
        <v>1219.32462410648</v>
      </c>
      <c r="K280" s="5" t="n">
        <f aca="false">IFERROR((J280-G280)/G280,"")</f>
        <v>0.000266303614833953</v>
      </c>
      <c r="L280" s="2" t="str">
        <f aca="false">IF(K280="","",IF(ABS(K280)&gt;0.05,"CHECK","OK"))</f>
        <v>OK</v>
      </c>
    </row>
    <row r="281" customFormat="false" ht="15" hidden="false" customHeight="false" outlineLevel="0" collapsed="false">
      <c r="A281" s="2" t="s">
        <v>36</v>
      </c>
      <c r="B281" s="2" t="n">
        <v>1984</v>
      </c>
      <c r="C281" s="2" t="s">
        <v>80</v>
      </c>
      <c r="D281" s="3" t="n">
        <v>15813</v>
      </c>
      <c r="E281" s="3" t="n">
        <v>27890</v>
      </c>
      <c r="F281" s="2" t="s">
        <v>14</v>
      </c>
      <c r="G281" s="3" t="n">
        <v>1764</v>
      </c>
      <c r="H281" s="2" t="s">
        <v>15</v>
      </c>
      <c r="I281" s="2" t="n">
        <v>1000</v>
      </c>
      <c r="J281" s="4" t="n">
        <f aca="false">IFERROR(E281*I281/D281,"")</f>
        <v>1763.73869600961</v>
      </c>
      <c r="K281" s="5" t="n">
        <f aca="false">IFERROR((J281-G281)/G281,"")</f>
        <v>-0.000148131513825204</v>
      </c>
      <c r="L281" s="2" t="str">
        <f aca="false">IF(K281="","",IF(ABS(K281)&gt;0.05,"CHECK","OK"))</f>
        <v>OK</v>
      </c>
    </row>
    <row r="282" customFormat="false" ht="15" hidden="false" customHeight="false" outlineLevel="0" collapsed="false">
      <c r="A282" s="2" t="s">
        <v>37</v>
      </c>
      <c r="B282" s="2" t="n">
        <v>1985</v>
      </c>
      <c r="C282" s="2" t="s">
        <v>79</v>
      </c>
      <c r="D282" s="3" t="n">
        <v>195097</v>
      </c>
      <c r="E282" s="3" t="n">
        <v>300780</v>
      </c>
      <c r="F282" s="2" t="s">
        <v>14</v>
      </c>
      <c r="G282" s="3" t="n">
        <v>1542</v>
      </c>
      <c r="H282" s="2" t="s">
        <v>15</v>
      </c>
      <c r="I282" s="2" t="n">
        <v>1000</v>
      </c>
      <c r="J282" s="4" t="n">
        <f aca="false">IFERROR(E282*I282/D282,"")</f>
        <v>1541.69464420263</v>
      </c>
      <c r="K282" s="5" t="n">
        <f aca="false">IFERROR((J282-G282)/G282,"")</f>
        <v>-0.000198025808931656</v>
      </c>
      <c r="L282" s="2" t="str">
        <f aca="false">IF(K282="","",IF(ABS(K282)&gt;0.05,"CHECK","OK"))</f>
        <v>OK</v>
      </c>
    </row>
    <row r="283" customFormat="false" ht="15" hidden="false" customHeight="false" outlineLevel="0" collapsed="false">
      <c r="A283" s="2" t="s">
        <v>37</v>
      </c>
      <c r="B283" s="2" t="n">
        <v>1985</v>
      </c>
      <c r="C283" s="2" t="s">
        <v>80</v>
      </c>
      <c r="D283" s="3" t="n">
        <v>15505</v>
      </c>
      <c r="E283" s="3" t="n">
        <v>28800</v>
      </c>
      <c r="F283" s="2" t="s">
        <v>14</v>
      </c>
      <c r="G283" s="3" t="n">
        <v>1857</v>
      </c>
      <c r="H283" s="2" t="s">
        <v>15</v>
      </c>
      <c r="I283" s="2" t="n">
        <v>1000</v>
      </c>
      <c r="J283" s="4" t="n">
        <f aca="false">IFERROR(E283*I283/D283,"")</f>
        <v>1857.4653337633</v>
      </c>
      <c r="K283" s="5" t="n">
        <f aca="false">IFERROR((J283-G283)/G283,"")</f>
        <v>0.000250583609748072</v>
      </c>
      <c r="L283" s="2" t="str">
        <f aca="false">IF(K283="","",IF(ABS(K283)&gt;0.05,"CHECK","OK"))</f>
        <v>OK</v>
      </c>
    </row>
    <row r="284" customFormat="false" ht="15" hidden="false" customHeight="false" outlineLevel="0" collapsed="false">
      <c r="A284" s="2" t="s">
        <v>38</v>
      </c>
      <c r="B284" s="2" t="n">
        <v>1986</v>
      </c>
      <c r="C284" s="2" t="s">
        <v>79</v>
      </c>
      <c r="D284" s="3" t="n">
        <v>176433</v>
      </c>
      <c r="E284" s="3" t="n">
        <v>315320</v>
      </c>
      <c r="F284" s="2" t="s">
        <v>14</v>
      </c>
      <c r="G284" s="3" t="n">
        <v>1787</v>
      </c>
      <c r="H284" s="2" t="s">
        <v>15</v>
      </c>
      <c r="I284" s="2" t="n">
        <v>1000</v>
      </c>
      <c r="J284" s="4" t="n">
        <f aca="false">IFERROR(E284*I284/D284,"")</f>
        <v>1787.19400565654</v>
      </c>
      <c r="K284" s="5" t="n">
        <f aca="false">IFERROR((J284-G284)/G284,"")</f>
        <v>0.000108565000860738</v>
      </c>
      <c r="L284" s="2" t="str">
        <f aca="false">IF(K284="","",IF(ABS(K284)&gt;0.05,"CHECK","OK"))</f>
        <v>OK</v>
      </c>
    </row>
    <row r="285" customFormat="false" ht="15" hidden="false" customHeight="false" outlineLevel="0" collapsed="false">
      <c r="A285" s="2" t="s">
        <v>38</v>
      </c>
      <c r="B285" s="2" t="n">
        <v>1986</v>
      </c>
      <c r="C285" s="2" t="s">
        <v>80</v>
      </c>
      <c r="D285" s="3" t="n">
        <v>29566</v>
      </c>
      <c r="E285" s="3" t="n">
        <v>40930</v>
      </c>
      <c r="F285" s="2" t="s">
        <v>14</v>
      </c>
      <c r="G285" s="3" t="n">
        <v>1384</v>
      </c>
      <c r="H285" s="2" t="s">
        <v>15</v>
      </c>
      <c r="I285" s="2" t="n">
        <v>1000</v>
      </c>
      <c r="J285" s="4" t="n">
        <f aca="false">IFERROR(E285*I285/D285,"")</f>
        <v>1384.36041398904</v>
      </c>
      <c r="K285" s="5" t="n">
        <f aca="false">IFERROR((J285-G285)/G285,"")</f>
        <v>0.000260414731966394</v>
      </c>
      <c r="L285" s="2" t="str">
        <f aca="false">IF(K285="","",IF(ABS(K285)&gt;0.05,"CHECK","OK"))</f>
        <v>OK</v>
      </c>
    </row>
    <row r="286" customFormat="false" ht="15" hidden="false" customHeight="false" outlineLevel="0" collapsed="false">
      <c r="A286" s="2" t="s">
        <v>39</v>
      </c>
      <c r="B286" s="2" t="n">
        <v>1987</v>
      </c>
      <c r="C286" s="2" t="s">
        <v>79</v>
      </c>
      <c r="D286" s="3" t="n">
        <v>168338</v>
      </c>
      <c r="E286" s="3" t="n">
        <v>287960</v>
      </c>
      <c r="F286" s="2" t="s">
        <v>14</v>
      </c>
      <c r="G286" s="3" t="n">
        <v>1710</v>
      </c>
      <c r="H286" s="2" t="s">
        <v>15</v>
      </c>
      <c r="I286" s="2" t="n">
        <v>1000</v>
      </c>
      <c r="J286" s="4" t="n">
        <f aca="false">IFERROR(E286*I286/D286,"")</f>
        <v>1710.60604260476</v>
      </c>
      <c r="K286" s="5" t="n">
        <f aca="false">IFERROR((J286-G286)/G286,"")</f>
        <v>0.000354410879976329</v>
      </c>
      <c r="L286" s="2" t="str">
        <f aca="false">IF(K286="","",IF(ABS(K286)&gt;0.05,"CHECK","OK"))</f>
        <v>OK</v>
      </c>
    </row>
    <row r="287" customFormat="false" ht="15" hidden="false" customHeight="false" outlineLevel="0" collapsed="false">
      <c r="A287" s="2" t="s">
        <v>39</v>
      </c>
      <c r="B287" s="2" t="n">
        <v>1987</v>
      </c>
      <c r="C287" s="2" t="s">
        <v>80</v>
      </c>
      <c r="D287" s="3" t="n">
        <v>20533</v>
      </c>
      <c r="E287" s="3" t="n">
        <v>31560</v>
      </c>
      <c r="F287" s="2" t="s">
        <v>14</v>
      </c>
      <c r="G287" s="3" t="n">
        <v>1537</v>
      </c>
      <c r="H287" s="2" t="s">
        <v>15</v>
      </c>
      <c r="I287" s="2" t="n">
        <v>1000</v>
      </c>
      <c r="J287" s="4" t="n">
        <f aca="false">IFERROR(E287*I287/D287,"")</f>
        <v>1537.03793892758</v>
      </c>
      <c r="K287" s="5" t="n">
        <f aca="false">IFERROR((J287-G287)/G287,"")</f>
        <v>2.46837524918308E-005</v>
      </c>
      <c r="L287" s="2" t="str">
        <f aca="false">IF(K287="","",IF(ABS(K287)&gt;0.05,"CHECK","OK"))</f>
        <v>OK</v>
      </c>
    </row>
    <row r="288" customFormat="false" ht="15" hidden="false" customHeight="false" outlineLevel="0" collapsed="false">
      <c r="A288" s="2" t="s">
        <v>40</v>
      </c>
      <c r="B288" s="2" t="n">
        <v>1988</v>
      </c>
      <c r="C288" s="2" t="s">
        <v>79</v>
      </c>
      <c r="D288" s="3" t="n">
        <v>163281</v>
      </c>
      <c r="E288" s="3" t="n">
        <v>286330</v>
      </c>
      <c r="F288" s="2" t="s">
        <v>14</v>
      </c>
      <c r="G288" s="3" t="n">
        <v>1754</v>
      </c>
      <c r="H288" s="2" t="s">
        <v>15</v>
      </c>
      <c r="I288" s="2" t="n">
        <v>1000</v>
      </c>
      <c r="J288" s="4" t="n">
        <f aca="false">IFERROR(E288*I288/D288,"")</f>
        <v>1753.60268494191</v>
      </c>
      <c r="K288" s="5" t="n">
        <f aca="false">IFERROR((J288-G288)/G288,"")</f>
        <v>-0.000226519417383149</v>
      </c>
      <c r="L288" s="2" t="str">
        <f aca="false">IF(K288="","",IF(ABS(K288)&gt;0.05,"CHECK","OK"))</f>
        <v>OK</v>
      </c>
    </row>
    <row r="289" customFormat="false" ht="15" hidden="false" customHeight="false" outlineLevel="0" collapsed="false">
      <c r="A289" s="2" t="s">
        <v>40</v>
      </c>
      <c r="B289" s="2" t="n">
        <v>1988</v>
      </c>
      <c r="C289" s="2" t="s">
        <v>80</v>
      </c>
      <c r="D289" s="3" t="n">
        <v>30459</v>
      </c>
      <c r="E289" s="3" t="n">
        <v>43040</v>
      </c>
      <c r="F289" s="2" t="s">
        <v>14</v>
      </c>
      <c r="G289" s="3" t="n">
        <v>1413</v>
      </c>
      <c r="H289" s="2" t="s">
        <v>15</v>
      </c>
      <c r="I289" s="2" t="n">
        <v>1000</v>
      </c>
      <c r="J289" s="4" t="n">
        <f aca="false">IFERROR(E289*I289/D289,"")</f>
        <v>1413.04704684986</v>
      </c>
      <c r="K289" s="5" t="n">
        <f aca="false">IFERROR((J289-G289)/G289,"")</f>
        <v>3.32957182334171E-005</v>
      </c>
      <c r="L289" s="2" t="str">
        <f aca="false">IF(K289="","",IF(ABS(K289)&gt;0.05,"CHECK","OK"))</f>
        <v>OK</v>
      </c>
    </row>
    <row r="290" customFormat="false" ht="15" hidden="false" customHeight="false" outlineLevel="0" collapsed="false">
      <c r="A290" s="2" t="s">
        <v>41</v>
      </c>
      <c r="B290" s="2" t="n">
        <v>1989</v>
      </c>
      <c r="C290" s="2" t="s">
        <v>79</v>
      </c>
      <c r="D290" s="3" t="n">
        <v>171921</v>
      </c>
      <c r="E290" s="3" t="n">
        <v>343210</v>
      </c>
      <c r="F290" s="2" t="s">
        <v>14</v>
      </c>
      <c r="G290" s="3" t="n">
        <v>1995</v>
      </c>
      <c r="H290" s="2" t="s">
        <v>15</v>
      </c>
      <c r="I290" s="2" t="n">
        <v>1000</v>
      </c>
      <c r="J290" s="4" t="n">
        <f aca="false">IFERROR(E290*I290/D290,"")</f>
        <v>1996.32389295083</v>
      </c>
      <c r="K290" s="5" t="n">
        <f aca="false">IFERROR((J290-G290)/G290,"")</f>
        <v>0.000663605489138863</v>
      </c>
      <c r="L290" s="2" t="str">
        <f aca="false">IF(K290="","",IF(ABS(K290)&gt;0.05,"CHECK","OK"))</f>
        <v>OK</v>
      </c>
    </row>
    <row r="291" customFormat="false" ht="15" hidden="false" customHeight="false" outlineLevel="0" collapsed="false">
      <c r="A291" s="2" t="s">
        <v>41</v>
      </c>
      <c r="B291" s="2" t="n">
        <v>1989</v>
      </c>
      <c r="C291" s="2" t="s">
        <v>80</v>
      </c>
      <c r="D291" s="3" t="n">
        <v>34699</v>
      </c>
      <c r="E291" s="3" t="n">
        <v>53580</v>
      </c>
      <c r="F291" s="2" t="s">
        <v>14</v>
      </c>
      <c r="G291" s="3" t="n">
        <v>1544</v>
      </c>
      <c r="H291" s="2" t="s">
        <v>15</v>
      </c>
      <c r="I291" s="2" t="n">
        <v>1000</v>
      </c>
      <c r="J291" s="4" t="n">
        <f aca="false">IFERROR(E291*I291/D291,"")</f>
        <v>1544.13671863742</v>
      </c>
      <c r="K291" s="5" t="n">
        <f aca="false">IFERROR((J291-G291)/G291,"")</f>
        <v>8.85483403010312E-005</v>
      </c>
      <c r="L291" s="2" t="str">
        <f aca="false">IF(K291="","",IF(ABS(K291)&gt;0.05,"CHECK","OK"))</f>
        <v>OK</v>
      </c>
    </row>
    <row r="292" customFormat="false" ht="15" hidden="false" customHeight="false" outlineLevel="0" collapsed="false">
      <c r="A292" s="2" t="s">
        <v>42</v>
      </c>
      <c r="B292" s="2" t="n">
        <v>1990</v>
      </c>
      <c r="C292" s="2" t="s">
        <v>79</v>
      </c>
      <c r="D292" s="3" t="n">
        <v>169723</v>
      </c>
      <c r="E292" s="3" t="n">
        <v>316240</v>
      </c>
      <c r="F292" s="2" t="s">
        <v>14</v>
      </c>
      <c r="G292" s="3" t="n">
        <v>1863</v>
      </c>
      <c r="H292" s="2" t="s">
        <v>15</v>
      </c>
      <c r="I292" s="2" t="n">
        <v>1000</v>
      </c>
      <c r="J292" s="4" t="n">
        <f aca="false">IFERROR(E292*I292/D292,"")</f>
        <v>1863.27133034415</v>
      </c>
      <c r="K292" s="5" t="n">
        <f aca="false">IFERROR((J292-G292)/G292,"")</f>
        <v>0.000145641623268365</v>
      </c>
      <c r="L292" s="2" t="str">
        <f aca="false">IF(K292="","",IF(ABS(K292)&gt;0.05,"CHECK","OK"))</f>
        <v>OK</v>
      </c>
    </row>
    <row r="293" customFormat="false" ht="15" hidden="false" customHeight="false" outlineLevel="0" collapsed="false">
      <c r="A293" s="2" t="s">
        <v>42</v>
      </c>
      <c r="B293" s="2" t="n">
        <v>1990</v>
      </c>
      <c r="C293" s="2" t="s">
        <v>80</v>
      </c>
      <c r="D293" s="3" t="n">
        <v>27466</v>
      </c>
      <c r="E293" s="3" t="n">
        <v>43820</v>
      </c>
      <c r="F293" s="2" t="s">
        <v>14</v>
      </c>
      <c r="G293" s="3" t="n">
        <v>1595</v>
      </c>
      <c r="H293" s="2" t="s">
        <v>15</v>
      </c>
      <c r="I293" s="2" t="n">
        <v>1000</v>
      </c>
      <c r="J293" s="4" t="n">
        <f aca="false">IFERROR(E293*I293/D293,"")</f>
        <v>1595.42707347266</v>
      </c>
      <c r="K293" s="5" t="n">
        <f aca="false">IFERROR((J293-G293)/G293,"")</f>
        <v>0.000267757663107953</v>
      </c>
      <c r="L293" s="2" t="str">
        <f aca="false">IF(K293="","",IF(ABS(K293)&gt;0.05,"CHECK","OK"))</f>
        <v>OK</v>
      </c>
    </row>
    <row r="294" customFormat="false" ht="15" hidden="false" customHeight="false" outlineLevel="0" collapsed="false">
      <c r="A294" s="2" t="s">
        <v>43</v>
      </c>
      <c r="B294" s="2" t="n">
        <v>1991</v>
      </c>
      <c r="C294" s="2" t="s">
        <v>79</v>
      </c>
      <c r="D294" s="3" t="n">
        <v>158386</v>
      </c>
      <c r="E294" s="3" t="n">
        <v>310610</v>
      </c>
      <c r="F294" s="2" t="s">
        <v>14</v>
      </c>
      <c r="G294" s="3" t="n">
        <v>1961</v>
      </c>
      <c r="H294" s="2" t="s">
        <v>15</v>
      </c>
      <c r="I294" s="2" t="n">
        <v>1000</v>
      </c>
      <c r="J294" s="4" t="n">
        <f aca="false">IFERROR(E294*I294/D294,"")</f>
        <v>1961.09504627934</v>
      </c>
      <c r="K294" s="5" t="n">
        <f aca="false">IFERROR((J294-G294)/G294,"")</f>
        <v>4.84682709550209E-005</v>
      </c>
      <c r="L294" s="2" t="str">
        <f aca="false">IF(K294="","",IF(ABS(K294)&gt;0.05,"CHECK","OK"))</f>
        <v>OK</v>
      </c>
    </row>
    <row r="295" customFormat="false" ht="15" hidden="false" customHeight="false" outlineLevel="0" collapsed="false">
      <c r="A295" s="2" t="s">
        <v>43</v>
      </c>
      <c r="B295" s="2" t="n">
        <v>1991</v>
      </c>
      <c r="C295" s="2" t="s">
        <v>80</v>
      </c>
      <c r="D295" s="3" t="n">
        <v>33747</v>
      </c>
      <c r="E295" s="3" t="n">
        <v>54170</v>
      </c>
      <c r="F295" s="2" t="s">
        <v>14</v>
      </c>
      <c r="G295" s="3" t="n">
        <v>1605</v>
      </c>
      <c r="H295" s="2" t="s">
        <v>15</v>
      </c>
      <c r="I295" s="2" t="n">
        <v>1000</v>
      </c>
      <c r="J295" s="4" t="n">
        <f aca="false">IFERROR(E295*I295/D295,"")</f>
        <v>1605.17971967879</v>
      </c>
      <c r="K295" s="5" t="n">
        <f aca="false">IFERROR((J295-G295)/G295,"")</f>
        <v>0.000111974877748499</v>
      </c>
      <c r="L295" s="2" t="str">
        <f aca="false">IF(K295="","",IF(ABS(K295)&gt;0.05,"CHECK","OK"))</f>
        <v>OK</v>
      </c>
    </row>
    <row r="296" customFormat="false" ht="15" hidden="false" customHeight="false" outlineLevel="0" collapsed="false">
      <c r="A296" s="2" t="s">
        <v>44</v>
      </c>
      <c r="B296" s="2" t="n">
        <v>1992</v>
      </c>
      <c r="C296" s="2" t="s">
        <v>79</v>
      </c>
      <c r="D296" s="3" t="n">
        <v>150546</v>
      </c>
      <c r="E296" s="3" t="n">
        <v>291000</v>
      </c>
      <c r="F296" s="2" t="s">
        <v>14</v>
      </c>
      <c r="G296" s="3" t="n">
        <v>1933</v>
      </c>
      <c r="H296" s="2" t="s">
        <v>15</v>
      </c>
      <c r="I296" s="2" t="n">
        <v>1000</v>
      </c>
      <c r="J296" s="4" t="n">
        <f aca="false">IFERROR(E296*I296/D296,"")</f>
        <v>1932.96401099996</v>
      </c>
      <c r="K296" s="5" t="n">
        <f aca="false">IFERROR((J296-G296)/G296,"")</f>
        <v>-1.86182100567836E-005</v>
      </c>
      <c r="L296" s="2" t="str">
        <f aca="false">IF(K296="","",IF(ABS(K296)&gt;0.05,"CHECK","OK"))</f>
        <v>OK</v>
      </c>
    </row>
    <row r="297" customFormat="false" ht="15" hidden="false" customHeight="false" outlineLevel="0" collapsed="false">
      <c r="A297" s="2" t="s">
        <v>44</v>
      </c>
      <c r="B297" s="2" t="n">
        <v>1992</v>
      </c>
      <c r="C297" s="2" t="s">
        <v>80</v>
      </c>
      <c r="D297" s="3" t="n">
        <v>43338</v>
      </c>
      <c r="E297" s="3" t="n">
        <v>70420</v>
      </c>
      <c r="F297" s="2" t="s">
        <v>14</v>
      </c>
      <c r="G297" s="3" t="n">
        <v>1625</v>
      </c>
      <c r="H297" s="2" t="s">
        <v>15</v>
      </c>
      <c r="I297" s="2" t="n">
        <v>1000</v>
      </c>
      <c r="J297" s="4" t="n">
        <f aca="false">IFERROR(E297*I297/D297,"")</f>
        <v>1624.90193363792</v>
      </c>
      <c r="K297" s="5" t="n">
        <f aca="false">IFERROR((J297-G297)/G297,"")</f>
        <v>-6.0348530513343E-005</v>
      </c>
      <c r="L297" s="2" t="str">
        <f aca="false">IF(K297="","",IF(ABS(K297)&gt;0.05,"CHECK","OK"))</f>
        <v>OK</v>
      </c>
    </row>
    <row r="298" customFormat="false" ht="15" hidden="false" customHeight="false" outlineLevel="0" collapsed="false">
      <c r="A298" s="2" t="s">
        <v>45</v>
      </c>
      <c r="B298" s="2" t="n">
        <v>1993</v>
      </c>
      <c r="C298" s="2" t="s">
        <v>79</v>
      </c>
      <c r="D298" s="3" t="n">
        <v>157992</v>
      </c>
      <c r="E298" s="3" t="n">
        <v>330970</v>
      </c>
      <c r="F298" s="2" t="s">
        <v>14</v>
      </c>
      <c r="G298" s="3" t="n">
        <v>2095</v>
      </c>
      <c r="H298" s="2" t="s">
        <v>15</v>
      </c>
      <c r="I298" s="2" t="n">
        <v>1000</v>
      </c>
      <c r="J298" s="4" t="n">
        <f aca="false">IFERROR(E298*I298/D298,"")</f>
        <v>2094.8529039445</v>
      </c>
      <c r="K298" s="5" t="n">
        <f aca="false">IFERROR((J298-G298)/G298,"")</f>
        <v>-7.02129143181881E-005</v>
      </c>
      <c r="L298" s="2" t="str">
        <f aca="false">IF(K298="","",IF(ABS(K298)&gt;0.05,"CHECK","OK"))</f>
        <v>OK</v>
      </c>
    </row>
    <row r="299" customFormat="false" ht="15" hidden="false" customHeight="false" outlineLevel="0" collapsed="false">
      <c r="A299" s="2" t="s">
        <v>45</v>
      </c>
      <c r="B299" s="2" t="n">
        <v>1993</v>
      </c>
      <c r="C299" s="2" t="s">
        <v>80</v>
      </c>
      <c r="D299" s="3" t="n">
        <v>37619</v>
      </c>
      <c r="E299" s="3" t="n">
        <v>60850</v>
      </c>
      <c r="F299" s="2" t="s">
        <v>14</v>
      </c>
      <c r="G299" s="3" t="n">
        <v>1618</v>
      </c>
      <c r="H299" s="2" t="s">
        <v>15</v>
      </c>
      <c r="I299" s="2" t="n">
        <v>1000</v>
      </c>
      <c r="J299" s="4" t="n">
        <f aca="false">IFERROR(E299*I299/D299,"")</f>
        <v>1617.53369308062</v>
      </c>
      <c r="K299" s="5" t="n">
        <f aca="false">IFERROR((J299-G299)/G299,"")</f>
        <v>-0.00028819957934236</v>
      </c>
      <c r="L299" s="2" t="str">
        <f aca="false">IF(K299="","",IF(ABS(K299)&gt;0.05,"CHECK","OK"))</f>
        <v>OK</v>
      </c>
    </row>
    <row r="300" customFormat="false" ht="15" hidden="false" customHeight="false" outlineLevel="0" collapsed="false">
      <c r="A300" s="2" t="s">
        <v>46</v>
      </c>
      <c r="B300" s="2" t="n">
        <v>1994</v>
      </c>
      <c r="C300" s="2" t="s">
        <v>79</v>
      </c>
      <c r="D300" s="3" t="n">
        <v>144704</v>
      </c>
      <c r="E300" s="3" t="n">
        <v>285020</v>
      </c>
      <c r="F300" s="2" t="s">
        <v>14</v>
      </c>
      <c r="G300" s="3" t="n">
        <v>1970</v>
      </c>
      <c r="H300" s="2" t="s">
        <v>15</v>
      </c>
      <c r="I300" s="2" t="n">
        <v>1000</v>
      </c>
      <c r="J300" s="4" t="n">
        <f aca="false">IFERROR(E300*I300/D300,"")</f>
        <v>1969.67602830606</v>
      </c>
      <c r="K300" s="5" t="n">
        <f aca="false">IFERROR((J300-G300)/G300,"")</f>
        <v>-0.000164452636518082</v>
      </c>
      <c r="L300" s="2" t="str">
        <f aca="false">IF(K300="","",IF(ABS(K300)&gt;0.05,"CHECK","OK"))</f>
        <v>OK</v>
      </c>
    </row>
    <row r="301" customFormat="false" ht="15" hidden="false" customHeight="false" outlineLevel="0" collapsed="false">
      <c r="A301" s="2" t="s">
        <v>46</v>
      </c>
      <c r="B301" s="2" t="n">
        <v>1994</v>
      </c>
      <c r="C301" s="2" t="s">
        <v>80</v>
      </c>
      <c r="D301" s="3" t="n">
        <v>46527</v>
      </c>
      <c r="E301" s="3" t="n">
        <v>73640</v>
      </c>
      <c r="F301" s="2" t="s">
        <v>14</v>
      </c>
      <c r="G301" s="3" t="n">
        <v>1585</v>
      </c>
      <c r="H301" s="2" t="s">
        <v>15</v>
      </c>
      <c r="I301" s="2" t="n">
        <v>1000</v>
      </c>
      <c r="J301" s="4" t="n">
        <f aca="false">IFERROR(E301*I301/D301,"")</f>
        <v>1582.73690545275</v>
      </c>
      <c r="K301" s="5" t="n">
        <f aca="false">IFERROR((J301-G301)/G301,"")</f>
        <v>-0.00142781990362914</v>
      </c>
      <c r="L301" s="2" t="str">
        <f aca="false">IF(K301="","",IF(ABS(K301)&gt;0.05,"CHECK","OK"))</f>
        <v>OK</v>
      </c>
    </row>
    <row r="302" customFormat="false" ht="15" hidden="false" customHeight="false" outlineLevel="0" collapsed="false">
      <c r="A302" s="2" t="s">
        <v>47</v>
      </c>
      <c r="B302" s="2" t="n">
        <v>1995</v>
      </c>
      <c r="C302" s="2" t="s">
        <v>79</v>
      </c>
      <c r="D302" s="3" t="n">
        <v>121579</v>
      </c>
      <c r="E302" s="3" t="n">
        <v>221060</v>
      </c>
      <c r="F302" s="2" t="s">
        <v>14</v>
      </c>
      <c r="G302" s="3" t="n">
        <v>1818</v>
      </c>
      <c r="H302" s="2" t="s">
        <v>15</v>
      </c>
      <c r="I302" s="2" t="n">
        <v>1000</v>
      </c>
      <c r="J302" s="4" t="n">
        <f aca="false">IFERROR(E302*I302/D302,"")</f>
        <v>1818.24163712483</v>
      </c>
      <c r="K302" s="5" t="n">
        <f aca="false">IFERROR((J302-G302)/G302,"")</f>
        <v>0.000132913710028781</v>
      </c>
      <c r="L302" s="2" t="str">
        <f aca="false">IF(K302="","",IF(ABS(K302)&gt;0.05,"CHECK","OK"))</f>
        <v>OK</v>
      </c>
    </row>
    <row r="303" customFormat="false" ht="15" hidden="false" customHeight="false" outlineLevel="0" collapsed="false">
      <c r="A303" s="2" t="s">
        <v>47</v>
      </c>
      <c r="B303" s="2" t="n">
        <v>1995</v>
      </c>
      <c r="C303" s="2" t="s">
        <v>80</v>
      </c>
      <c r="D303" s="3" t="n">
        <v>46842</v>
      </c>
      <c r="E303" s="3" t="n">
        <v>74880</v>
      </c>
      <c r="F303" s="2" t="s">
        <v>14</v>
      </c>
      <c r="G303" s="3" t="n">
        <v>1598</v>
      </c>
      <c r="H303" s="2" t="s">
        <v>15</v>
      </c>
      <c r="I303" s="2" t="n">
        <v>1000</v>
      </c>
      <c r="J303" s="4" t="n">
        <f aca="false">IFERROR(E303*I303/D303,"")</f>
        <v>1598.56539003458</v>
      </c>
      <c r="K303" s="5" t="n">
        <f aca="false">IFERROR((J303-G303)/G303,"")</f>
        <v>0.000353811035409528</v>
      </c>
      <c r="L303" s="2" t="str">
        <f aca="false">IF(K303="","",IF(ABS(K303)&gt;0.05,"CHECK","OK"))</f>
        <v>OK</v>
      </c>
    </row>
    <row r="304" customFormat="false" ht="15" hidden="false" customHeight="false" outlineLevel="0" collapsed="false">
      <c r="A304" s="2" t="s">
        <v>48</v>
      </c>
      <c r="B304" s="2" t="n">
        <v>1996</v>
      </c>
      <c r="C304" s="2" t="s">
        <v>79</v>
      </c>
      <c r="D304" s="3" t="n">
        <v>111415</v>
      </c>
      <c r="E304" s="3" t="n">
        <v>190530</v>
      </c>
      <c r="F304" s="2" t="s">
        <v>14</v>
      </c>
      <c r="G304" s="3" t="n">
        <v>1710</v>
      </c>
      <c r="H304" s="2" t="s">
        <v>15</v>
      </c>
      <c r="I304" s="2" t="n">
        <v>1000</v>
      </c>
      <c r="J304" s="4" t="n">
        <f aca="false">IFERROR(E304*I304/D304,"")</f>
        <v>1710.09289592963</v>
      </c>
      <c r="K304" s="5" t="n">
        <f aca="false">IFERROR((J304-G304)/G304,"")</f>
        <v>5.43251050482484E-005</v>
      </c>
      <c r="L304" s="2" t="str">
        <f aca="false">IF(K304="","",IF(ABS(K304)&gt;0.05,"CHECK","OK"))</f>
        <v>OK</v>
      </c>
    </row>
    <row r="305" customFormat="false" ht="15" hidden="false" customHeight="false" outlineLevel="0" collapsed="false">
      <c r="A305" s="2" t="s">
        <v>48</v>
      </c>
      <c r="B305" s="2" t="n">
        <v>1996</v>
      </c>
      <c r="C305" s="2" t="s">
        <v>80</v>
      </c>
      <c r="D305" s="3" t="n">
        <v>49009</v>
      </c>
      <c r="E305" s="3" t="n">
        <v>80390</v>
      </c>
      <c r="F305" s="2" t="s">
        <v>14</v>
      </c>
      <c r="G305" s="3" t="n">
        <v>1640</v>
      </c>
      <c r="H305" s="2" t="s">
        <v>15</v>
      </c>
      <c r="I305" s="2" t="n">
        <v>1000</v>
      </c>
      <c r="J305" s="4" t="n">
        <f aca="false">IFERROR(E305*I305/D305,"")</f>
        <v>1640.31096329246</v>
      </c>
      <c r="K305" s="5" t="n">
        <f aca="false">IFERROR((J305-G305)/G305,"")</f>
        <v>0.000189611763693026</v>
      </c>
      <c r="L305" s="2" t="str">
        <f aca="false">IF(K305="","",IF(ABS(K305)&gt;0.05,"CHECK","OK"))</f>
        <v>OK</v>
      </c>
    </row>
    <row r="306" customFormat="false" ht="15" hidden="false" customHeight="false" outlineLevel="0" collapsed="false">
      <c r="A306" s="2" t="s">
        <v>49</v>
      </c>
      <c r="B306" s="2" t="n">
        <v>1997</v>
      </c>
      <c r="C306" s="2" t="s">
        <v>79</v>
      </c>
      <c r="D306" s="3" t="n">
        <v>107043</v>
      </c>
      <c r="E306" s="3" t="n">
        <v>217940</v>
      </c>
      <c r="F306" s="2" t="s">
        <v>14</v>
      </c>
      <c r="G306" s="3" t="n">
        <v>2036</v>
      </c>
      <c r="H306" s="2" t="s">
        <v>15</v>
      </c>
      <c r="I306" s="2" t="n">
        <v>1000</v>
      </c>
      <c r="J306" s="4" t="n">
        <f aca="false">IFERROR(E306*I306/D306,"")</f>
        <v>2036.00422260213</v>
      </c>
      <c r="K306" s="5" t="n">
        <f aca="false">IFERROR((J306-G306)/G306,"")</f>
        <v>2.07396961291937E-006</v>
      </c>
      <c r="L306" s="2" t="str">
        <f aca="false">IF(K306="","",IF(ABS(K306)&gt;0.05,"CHECK","OK"))</f>
        <v>OK</v>
      </c>
    </row>
    <row r="307" customFormat="false" ht="15" hidden="false" customHeight="false" outlineLevel="0" collapsed="false">
      <c r="A307" s="2" t="s">
        <v>49</v>
      </c>
      <c r="B307" s="2" t="n">
        <v>1997</v>
      </c>
      <c r="C307" s="2" t="s">
        <v>80</v>
      </c>
      <c r="D307" s="3" t="n">
        <v>58045</v>
      </c>
      <c r="E307" s="3" t="n">
        <v>94940</v>
      </c>
      <c r="F307" s="2" t="s">
        <v>14</v>
      </c>
      <c r="G307" s="3" t="n">
        <v>1636</v>
      </c>
      <c r="H307" s="2" t="s">
        <v>15</v>
      </c>
      <c r="I307" s="2" t="n">
        <v>1000</v>
      </c>
      <c r="J307" s="4" t="n">
        <f aca="false">IFERROR(E307*I307/D307,"")</f>
        <v>1635.62753036437</v>
      </c>
      <c r="K307" s="5" t="n">
        <f aca="false">IFERROR((J307-G307)/G307,"")</f>
        <v>-0.000227670926422718</v>
      </c>
      <c r="L307" s="2" t="str">
        <f aca="false">IF(K307="","",IF(ABS(K307)&gt;0.05,"CHECK","OK"))</f>
        <v>OK</v>
      </c>
    </row>
    <row r="308" customFormat="false" ht="15" hidden="false" customHeight="false" outlineLevel="0" collapsed="false">
      <c r="A308" s="2" t="s">
        <v>50</v>
      </c>
      <c r="B308" s="2" t="n">
        <v>1998</v>
      </c>
      <c r="C308" s="2" t="s">
        <v>79</v>
      </c>
      <c r="D308" s="3" t="n">
        <v>120047</v>
      </c>
      <c r="E308" s="3" t="n">
        <v>240610</v>
      </c>
      <c r="F308" s="2" t="s">
        <v>14</v>
      </c>
      <c r="G308" s="3" t="n">
        <v>2004</v>
      </c>
      <c r="H308" s="2" t="s">
        <v>15</v>
      </c>
      <c r="I308" s="2" t="n">
        <v>1000</v>
      </c>
      <c r="J308" s="4" t="n">
        <f aca="false">IFERROR(E308*I308/D308,"")</f>
        <v>2004.29831649271</v>
      </c>
      <c r="K308" s="5" t="n">
        <f aca="false">IFERROR((J308-G308)/G308,"")</f>
        <v>0.000148860525302917</v>
      </c>
      <c r="L308" s="2" t="str">
        <f aca="false">IF(K308="","",IF(ABS(K308)&gt;0.05,"CHECK","OK"))</f>
        <v>OK</v>
      </c>
    </row>
    <row r="309" customFormat="false" ht="15" hidden="false" customHeight="false" outlineLevel="0" collapsed="false">
      <c r="A309" s="2" t="s">
        <v>50</v>
      </c>
      <c r="B309" s="2" t="n">
        <v>1998</v>
      </c>
      <c r="C309" s="2" t="s">
        <v>80</v>
      </c>
      <c r="D309" s="3" t="n">
        <v>55666</v>
      </c>
      <c r="E309" s="3" t="n">
        <v>88340</v>
      </c>
      <c r="F309" s="2" t="s">
        <v>14</v>
      </c>
      <c r="G309" s="3" t="n">
        <v>1587</v>
      </c>
      <c r="H309" s="2" t="s">
        <v>15</v>
      </c>
      <c r="I309" s="2" t="n">
        <v>1000</v>
      </c>
      <c r="J309" s="4" t="n">
        <f aca="false">IFERROR(E309*I309/D309,"")</f>
        <v>1586.96511335465</v>
      </c>
      <c r="K309" s="5" t="n">
        <f aca="false">IFERROR((J309-G309)/G309,"")</f>
        <v>-2.19827632948542E-005</v>
      </c>
      <c r="L309" s="2" t="str">
        <f aca="false">IF(K309="","",IF(ABS(K309)&gt;0.05,"CHECK","OK"))</f>
        <v>OK</v>
      </c>
    </row>
    <row r="310" customFormat="false" ht="15" hidden="false" customHeight="false" outlineLevel="0" collapsed="false">
      <c r="A310" s="2" t="s">
        <v>51</v>
      </c>
      <c r="B310" s="2" t="n">
        <v>1999</v>
      </c>
      <c r="C310" s="2" t="s">
        <v>79</v>
      </c>
      <c r="D310" s="3" t="n">
        <v>122715</v>
      </c>
      <c r="E310" s="3" t="n">
        <v>245940</v>
      </c>
      <c r="F310" s="2" t="s">
        <v>14</v>
      </c>
      <c r="G310" s="3" t="n">
        <v>2004</v>
      </c>
      <c r="H310" s="2" t="s">
        <v>15</v>
      </c>
      <c r="I310" s="2" t="n">
        <v>1000</v>
      </c>
      <c r="J310" s="4" t="n">
        <f aca="false">IFERROR(E310*I310/D310,"")</f>
        <v>2004.15597115267</v>
      </c>
      <c r="K310" s="5" t="n">
        <f aca="false">IFERROR((J310-G310)/G310,"")</f>
        <v>7.78299165024314E-005</v>
      </c>
      <c r="L310" s="2" t="str">
        <f aca="false">IF(K310="","",IF(ABS(K310)&gt;0.05,"CHECK","OK"))</f>
        <v>OK</v>
      </c>
    </row>
    <row r="311" customFormat="false" ht="15" hidden="false" customHeight="false" outlineLevel="0" collapsed="false">
      <c r="A311" s="2" t="s">
        <v>51</v>
      </c>
      <c r="B311" s="2" t="n">
        <v>1999</v>
      </c>
      <c r="C311" s="2" t="s">
        <v>80</v>
      </c>
      <c r="D311" s="3" t="n">
        <v>88066</v>
      </c>
      <c r="E311" s="3" t="n">
        <v>137380</v>
      </c>
      <c r="F311" s="2" t="s">
        <v>14</v>
      </c>
      <c r="G311" s="3" t="n">
        <v>1609</v>
      </c>
      <c r="H311" s="2" t="s">
        <v>15</v>
      </c>
      <c r="I311" s="2" t="n">
        <v>1000</v>
      </c>
      <c r="J311" s="4" t="n">
        <f aca="false">IFERROR(E311*I311/D311,"")</f>
        <v>1559.96638884473</v>
      </c>
      <c r="K311" s="5" t="n">
        <f aca="false">IFERROR((J311-G311)/G311,"")</f>
        <v>-0.0304745874178185</v>
      </c>
      <c r="L311" s="2" t="str">
        <f aca="false">IF(K311="","",IF(ABS(K311)&gt;0.05,"CHECK","OK"))</f>
        <v>OK</v>
      </c>
    </row>
    <row r="312" customFormat="false" ht="15" hidden="false" customHeight="false" outlineLevel="0" collapsed="false">
      <c r="A312" s="2" t="s">
        <v>52</v>
      </c>
      <c r="B312" s="2" t="n">
        <v>2000</v>
      </c>
      <c r="C312" s="2" t="s">
        <v>79</v>
      </c>
      <c r="D312" s="3" t="n">
        <v>126955</v>
      </c>
      <c r="E312" s="3" t="n">
        <v>259490</v>
      </c>
      <c r="F312" s="2" t="s">
        <v>14</v>
      </c>
      <c r="G312" s="3" t="n">
        <v>2043</v>
      </c>
      <c r="H312" s="2" t="s">
        <v>15</v>
      </c>
      <c r="I312" s="2" t="n">
        <v>1000</v>
      </c>
      <c r="J312" s="4" t="n">
        <f aca="false">IFERROR(E312*I312/D312,"")</f>
        <v>2043.95258162341</v>
      </c>
      <c r="K312" s="5" t="n">
        <f aca="false">IFERROR((J312-G312)/G312,"")</f>
        <v>0.000466266090753778</v>
      </c>
      <c r="L312" s="2" t="str">
        <f aca="false">IF(K312="","",IF(ABS(K312)&gt;0.05,"CHECK","OK"))</f>
        <v>OK</v>
      </c>
    </row>
    <row r="313" customFormat="false" ht="15" hidden="false" customHeight="false" outlineLevel="0" collapsed="false">
      <c r="A313" s="2" t="s">
        <v>52</v>
      </c>
      <c r="B313" s="2" t="n">
        <v>2000</v>
      </c>
      <c r="C313" s="2" t="s">
        <v>80</v>
      </c>
      <c r="D313" s="3" t="n">
        <v>81467</v>
      </c>
      <c r="E313" s="3" t="n">
        <v>139916</v>
      </c>
      <c r="F313" s="2" t="s">
        <v>14</v>
      </c>
      <c r="G313" s="3" t="n">
        <v>1717</v>
      </c>
      <c r="H313" s="2" t="s">
        <v>15</v>
      </c>
      <c r="I313" s="2" t="n">
        <v>1000</v>
      </c>
      <c r="J313" s="4" t="n">
        <f aca="false">IFERROR(E313*I313/D313,"")</f>
        <v>1717.4561478881</v>
      </c>
      <c r="K313" s="5" t="n">
        <f aca="false">IFERROR((J313-G313)/G313,"")</f>
        <v>0.000265665630810656</v>
      </c>
      <c r="L313" s="2" t="str">
        <f aca="false">IF(K313="","",IF(ABS(K313)&gt;0.05,"CHECK","OK"))</f>
        <v>OK</v>
      </c>
    </row>
    <row r="314" customFormat="false" ht="15" hidden="false" customHeight="false" outlineLevel="0" collapsed="false">
      <c r="A314" s="2" t="s">
        <v>53</v>
      </c>
      <c r="B314" s="2" t="n">
        <v>2001</v>
      </c>
      <c r="C314" s="2" t="s">
        <v>79</v>
      </c>
      <c r="D314" s="3" t="n">
        <v>124958</v>
      </c>
      <c r="E314" s="3" t="n">
        <v>235310</v>
      </c>
      <c r="F314" s="2" t="s">
        <v>14</v>
      </c>
      <c r="G314" s="3" t="n">
        <v>1883</v>
      </c>
      <c r="H314" s="2" t="s">
        <v>15</v>
      </c>
      <c r="I314" s="2" t="n">
        <v>1000</v>
      </c>
      <c r="J314" s="4" t="n">
        <f aca="false">IFERROR(E314*I314/D314,"")</f>
        <v>1883.11272587589</v>
      </c>
      <c r="K314" s="5" t="n">
        <f aca="false">IFERROR((J314-G314)/G314,"")</f>
        <v>5.9865042960321E-005</v>
      </c>
      <c r="L314" s="2" t="str">
        <f aca="false">IF(K314="","",IF(ABS(K314)&gt;0.05,"CHECK","OK"))</f>
        <v>OK</v>
      </c>
    </row>
    <row r="315" customFormat="false" ht="15" hidden="false" customHeight="false" outlineLevel="0" collapsed="false">
      <c r="A315" s="2" t="s">
        <v>53</v>
      </c>
      <c r="B315" s="2" t="n">
        <v>2001</v>
      </c>
      <c r="C315" s="2" t="s">
        <v>80</v>
      </c>
      <c r="D315" s="3" t="n">
        <v>72956</v>
      </c>
      <c r="E315" s="3" t="n">
        <v>118463</v>
      </c>
      <c r="F315" s="2" t="s">
        <v>14</v>
      </c>
      <c r="G315" s="3" t="n">
        <v>1624</v>
      </c>
      <c r="H315" s="2" t="s">
        <v>15</v>
      </c>
      <c r="I315" s="2" t="n">
        <v>1000</v>
      </c>
      <c r="J315" s="4" t="n">
        <f aca="false">IFERROR(E315*I315/D315,"")</f>
        <v>1623.75952628982</v>
      </c>
      <c r="K315" s="5" t="n">
        <f aca="false">IFERROR((J315-G315)/G315,"")</f>
        <v>-0.000148074944693045</v>
      </c>
      <c r="L315" s="2" t="str">
        <f aca="false">IF(K315="","",IF(ABS(K315)&gt;0.05,"CHECK","OK"))</f>
        <v>OK</v>
      </c>
    </row>
    <row r="316" customFormat="false" ht="15" hidden="false" customHeight="false" outlineLevel="0" collapsed="false">
      <c r="A316" s="2" t="s">
        <v>54</v>
      </c>
      <c r="B316" s="2" t="n">
        <v>2002</v>
      </c>
      <c r="C316" s="2" t="s">
        <v>79</v>
      </c>
      <c r="D316" s="3" t="n">
        <v>104286</v>
      </c>
      <c r="E316" s="3" t="n">
        <v>140169</v>
      </c>
      <c r="F316" s="2" t="s">
        <v>14</v>
      </c>
      <c r="G316" s="3" t="n">
        <v>1344</v>
      </c>
      <c r="H316" s="2" t="s">
        <v>15</v>
      </c>
      <c r="I316" s="2" t="n">
        <v>1000</v>
      </c>
      <c r="J316" s="4" t="n">
        <f aca="false">IFERROR(E316*I316/D316,"")</f>
        <v>1344.08261895173</v>
      </c>
      <c r="K316" s="5" t="n">
        <f aca="false">IFERROR((J316-G316)/G316,"")</f>
        <v>6.14724343220376E-005</v>
      </c>
      <c r="L316" s="2" t="str">
        <f aca="false">IF(K316="","",IF(ABS(K316)&gt;0.05,"CHECK","OK"))</f>
        <v>OK</v>
      </c>
    </row>
    <row r="317" customFormat="false" ht="15" hidden="false" customHeight="false" outlineLevel="0" collapsed="false">
      <c r="A317" s="2" t="s">
        <v>54</v>
      </c>
      <c r="B317" s="2" t="n">
        <v>2002</v>
      </c>
      <c r="C317" s="2" t="s">
        <v>80</v>
      </c>
      <c r="D317" s="3" t="n">
        <v>121057</v>
      </c>
      <c r="E317" s="3" t="n">
        <v>191646</v>
      </c>
      <c r="F317" s="2" t="s">
        <v>14</v>
      </c>
      <c r="G317" s="3" t="n">
        <v>1583</v>
      </c>
      <c r="H317" s="2" t="s">
        <v>15</v>
      </c>
      <c r="I317" s="2" t="n">
        <v>1000</v>
      </c>
      <c r="J317" s="4" t="n">
        <f aca="false">IFERROR(E317*I317/D317,"")</f>
        <v>1583.10547923705</v>
      </c>
      <c r="K317" s="5" t="n">
        <f aca="false">IFERROR((J317-G317)/G317,"")</f>
        <v>6.66324934009566E-005</v>
      </c>
      <c r="L317" s="2" t="str">
        <f aca="false">IF(K317="","",IF(ABS(K317)&gt;0.05,"CHECK","OK"))</f>
        <v>OK</v>
      </c>
    </row>
    <row r="318" customFormat="false" ht="15" hidden="false" customHeight="false" outlineLevel="0" collapsed="false">
      <c r="A318" s="2" t="s">
        <v>55</v>
      </c>
      <c r="B318" s="2" t="n">
        <v>2003</v>
      </c>
      <c r="C318" s="2" t="s">
        <v>79</v>
      </c>
      <c r="D318" s="3" t="n">
        <v>118439</v>
      </c>
      <c r="E318" s="3" t="n">
        <v>176381</v>
      </c>
      <c r="F318" s="2" t="s">
        <v>14</v>
      </c>
      <c r="G318" s="3" t="n">
        <v>1489</v>
      </c>
      <c r="H318" s="2" t="s">
        <v>15</v>
      </c>
      <c r="I318" s="2" t="n">
        <v>1000</v>
      </c>
      <c r="J318" s="4" t="n">
        <f aca="false">IFERROR(E318*I318/D318,"")</f>
        <v>1489.21385692213</v>
      </c>
      <c r="K318" s="5" t="n">
        <f aca="false">IFERROR((J318-G318)/G318,"")</f>
        <v>0.000143624527957554</v>
      </c>
      <c r="L318" s="2" t="str">
        <f aca="false">IF(K318="","",IF(ABS(K318)&gt;0.05,"CHECK","OK"))</f>
        <v>OK</v>
      </c>
    </row>
    <row r="319" customFormat="false" ht="15" hidden="false" customHeight="false" outlineLevel="0" collapsed="false">
      <c r="A319" s="2" t="s">
        <v>55</v>
      </c>
      <c r="B319" s="2" t="n">
        <v>2003</v>
      </c>
      <c r="C319" s="2" t="s">
        <v>80</v>
      </c>
      <c r="D319" s="3" t="n">
        <v>160159</v>
      </c>
      <c r="E319" s="3" t="n">
        <v>250992</v>
      </c>
      <c r="F319" s="2" t="s">
        <v>14</v>
      </c>
      <c r="G319" s="3" t="n">
        <v>1567</v>
      </c>
      <c r="H319" s="2" t="s">
        <v>15</v>
      </c>
      <c r="I319" s="2" t="n">
        <v>1000</v>
      </c>
      <c r="J319" s="4" t="n">
        <f aca="false">IFERROR(E319*I319/D319,"")</f>
        <v>1567.14265198959</v>
      </c>
      <c r="K319" s="5" t="n">
        <f aca="false">IFERROR((J319-G319)/G319,"")</f>
        <v>9.10350922689052E-005</v>
      </c>
      <c r="L319" s="2" t="str">
        <f aca="false">IF(K319="","",IF(ABS(K319)&gt;0.05,"CHECK","OK"))</f>
        <v>OK</v>
      </c>
    </row>
    <row r="320" customFormat="false" ht="15" hidden="false" customHeight="false" outlineLevel="0" collapsed="false">
      <c r="A320" s="2" t="s">
        <v>56</v>
      </c>
      <c r="B320" s="2" t="n">
        <v>2004</v>
      </c>
      <c r="C320" s="2" t="s">
        <v>79</v>
      </c>
      <c r="D320" s="3" t="n">
        <v>108845</v>
      </c>
      <c r="E320" s="3" t="n">
        <v>154085</v>
      </c>
      <c r="F320" s="2" t="s">
        <v>14</v>
      </c>
      <c r="G320" s="3" t="n">
        <v>1416</v>
      </c>
      <c r="H320" s="2" t="s">
        <v>15</v>
      </c>
      <c r="I320" s="2" t="n">
        <v>1000</v>
      </c>
      <c r="J320" s="4" t="n">
        <f aca="false">IFERROR(E320*I320/D320,"")</f>
        <v>1415.63691487896</v>
      </c>
      <c r="K320" s="5" t="n">
        <f aca="false">IFERROR((J320-G320)/G320,"")</f>
        <v>-0.000256416045934813</v>
      </c>
      <c r="L320" s="2" t="str">
        <f aca="false">IF(K320="","",IF(ABS(K320)&gt;0.05,"CHECK","OK"))</f>
        <v>OK</v>
      </c>
    </row>
    <row r="321" customFormat="false" ht="15" hidden="false" customHeight="false" outlineLevel="0" collapsed="false">
      <c r="A321" s="2" t="s">
        <v>56</v>
      </c>
      <c r="B321" s="2" t="n">
        <v>2004</v>
      </c>
      <c r="C321" s="2" t="s">
        <v>80</v>
      </c>
      <c r="D321" s="3" t="n">
        <v>189893</v>
      </c>
      <c r="E321" s="3" t="n">
        <v>294717</v>
      </c>
      <c r="F321" s="2" t="s">
        <v>14</v>
      </c>
      <c r="G321" s="3" t="n">
        <v>1552</v>
      </c>
      <c r="H321" s="2" t="s">
        <v>15</v>
      </c>
      <c r="I321" s="2" t="n">
        <v>1000</v>
      </c>
      <c r="J321" s="4" t="n">
        <f aca="false">IFERROR(E321*I321/D321,"")</f>
        <v>1552.01613540257</v>
      </c>
      <c r="K321" s="5" t="n">
        <f aca="false">IFERROR((J321-G321)/G321,"")</f>
        <v>1.03965222737158E-005</v>
      </c>
      <c r="L321" s="2" t="str">
        <f aca="false">IF(K321="","",IF(ABS(K321)&gt;0.05,"CHECK","OK"))</f>
        <v>OK</v>
      </c>
    </row>
    <row r="322" customFormat="false" ht="15" hidden="false" customHeight="false" outlineLevel="0" collapsed="false">
      <c r="A322" s="2" t="s">
        <v>57</v>
      </c>
      <c r="B322" s="2" t="n">
        <v>2005</v>
      </c>
      <c r="C322" s="2" t="s">
        <v>79</v>
      </c>
      <c r="D322" s="3" t="n">
        <v>99549</v>
      </c>
      <c r="E322" s="3" t="n">
        <v>132172</v>
      </c>
      <c r="F322" s="2" t="s">
        <v>14</v>
      </c>
      <c r="G322" s="3" t="n">
        <v>1325</v>
      </c>
      <c r="H322" s="2" t="s">
        <v>15</v>
      </c>
      <c r="I322" s="2" t="n">
        <v>1000</v>
      </c>
      <c r="J322" s="4" t="n">
        <f aca="false">IFERROR(E322*I322/D322,"")</f>
        <v>1327.70796291274</v>
      </c>
      <c r="K322" s="5" t="n">
        <f aca="false">IFERROR((J322-G322)/G322,"")</f>
        <v>0.00204374559451815</v>
      </c>
      <c r="L322" s="2" t="str">
        <f aca="false">IF(K322="","",IF(ABS(K322)&gt;0.05,"CHECK","OK"))</f>
        <v>OK</v>
      </c>
    </row>
    <row r="323" customFormat="false" ht="15" hidden="false" customHeight="false" outlineLevel="0" collapsed="false">
      <c r="A323" s="2" t="s">
        <v>57</v>
      </c>
      <c r="B323" s="2" t="n">
        <v>2005</v>
      </c>
      <c r="C323" s="2" t="s">
        <v>80</v>
      </c>
      <c r="D323" s="3" t="n">
        <v>202830</v>
      </c>
      <c r="E323" s="3" t="n">
        <v>241217</v>
      </c>
      <c r="F323" s="2" t="s">
        <v>14</v>
      </c>
      <c r="G323" s="3" t="n">
        <v>1189</v>
      </c>
      <c r="H323" s="2" t="s">
        <v>15</v>
      </c>
      <c r="I323" s="2" t="n">
        <v>1000</v>
      </c>
      <c r="J323" s="4" t="n">
        <f aca="false">IFERROR(E323*I323/D323,"")</f>
        <v>1189.25701326234</v>
      </c>
      <c r="K323" s="5" t="n">
        <f aca="false">IFERROR((J323-G323)/G323,"")</f>
        <v>0.000216159177744304</v>
      </c>
      <c r="L323" s="2" t="str">
        <f aca="false">IF(K323="","",IF(ABS(K323)&gt;0.05,"CHECK","OK"))</f>
        <v>OK</v>
      </c>
    </row>
    <row r="324" customFormat="false" ht="15" hidden="false" customHeight="false" outlineLevel="0" collapsed="false">
      <c r="A324" s="2" t="s">
        <v>58</v>
      </c>
      <c r="B324" s="2" t="n">
        <v>2006</v>
      </c>
      <c r="C324" s="2" t="s">
        <v>79</v>
      </c>
      <c r="D324" s="3" t="n">
        <v>95478</v>
      </c>
      <c r="E324" s="3" t="n">
        <v>148148</v>
      </c>
      <c r="F324" s="2" t="s">
        <v>14</v>
      </c>
      <c r="G324" s="3" t="n">
        <v>1552</v>
      </c>
      <c r="H324" s="2" t="s">
        <v>15</v>
      </c>
      <c r="I324" s="2" t="n">
        <v>1000</v>
      </c>
      <c r="J324" s="4" t="n">
        <f aca="false">IFERROR(E324*I324/D324,"")</f>
        <v>1551.64540522424</v>
      </c>
      <c r="K324" s="5" t="n">
        <f aca="false">IFERROR((J324-G324)/G324,"")</f>
        <v>-0.000228476015309136</v>
      </c>
      <c r="L324" s="2" t="str">
        <f aca="false">IF(K324="","",IF(ABS(K324)&gt;0.05,"CHECK","OK"))</f>
        <v>OK</v>
      </c>
    </row>
    <row r="325" customFormat="false" ht="15" hidden="false" customHeight="false" outlineLevel="0" collapsed="false">
      <c r="A325" s="2" t="s">
        <v>58</v>
      </c>
      <c r="B325" s="2" t="n">
        <v>2006</v>
      </c>
      <c r="C325" s="2" t="s">
        <v>80</v>
      </c>
      <c r="D325" s="3" t="n">
        <v>197782</v>
      </c>
      <c r="E325" s="3" t="n">
        <v>759112</v>
      </c>
      <c r="F325" s="2" t="s">
        <v>14</v>
      </c>
      <c r="G325" s="3" t="n">
        <v>3838</v>
      </c>
      <c r="H325" s="2" t="s">
        <v>15</v>
      </c>
      <c r="I325" s="2" t="n">
        <v>1000</v>
      </c>
      <c r="J325" s="4" t="n">
        <f aca="false">IFERROR(E325*I325/D325,"")</f>
        <v>3838.12480407722</v>
      </c>
      <c r="K325" s="5" t="n">
        <f aca="false">IFERROR((J325-G325)/G325,"")</f>
        <v>3.25179982324493E-005</v>
      </c>
      <c r="L325" s="2" t="str">
        <f aca="false">IF(K325="","",IF(ABS(K325)&gt;0.05,"CHECK","OK"))</f>
        <v>OK</v>
      </c>
    </row>
    <row r="326" customFormat="false" ht="15" hidden="false" customHeight="false" outlineLevel="0" collapsed="false">
      <c r="A326" s="2" t="s">
        <v>59</v>
      </c>
      <c r="B326" s="2" t="n">
        <v>2007</v>
      </c>
      <c r="C326" s="2" t="s">
        <v>79</v>
      </c>
      <c r="D326" s="3" t="n">
        <v>93701</v>
      </c>
      <c r="E326" s="3" t="n">
        <v>175944</v>
      </c>
      <c r="F326" s="2" t="s">
        <v>14</v>
      </c>
      <c r="G326" s="3" t="n">
        <v>1878</v>
      </c>
      <c r="H326" s="2" t="s">
        <v>15</v>
      </c>
      <c r="I326" s="2" t="n">
        <v>1000</v>
      </c>
      <c r="J326" s="4" t="n">
        <f aca="false">IFERROR(E326*I326/D326,"")</f>
        <v>1877.71742030501</v>
      </c>
      <c r="K326" s="5" t="n">
        <f aca="false">IFERROR((J326-G326)/G326,"")</f>
        <v>-0.000150468421185908</v>
      </c>
      <c r="L326" s="2" t="str">
        <f aca="false">IF(K326="","",IF(ABS(K326)&gt;0.05,"CHECK","OK"))</f>
        <v>OK</v>
      </c>
    </row>
    <row r="327" customFormat="false" ht="15" hidden="false" customHeight="false" outlineLevel="0" collapsed="false">
      <c r="A327" s="2" t="s">
        <v>59</v>
      </c>
      <c r="B327" s="2" t="n">
        <v>2007</v>
      </c>
      <c r="C327" s="2" t="s">
        <v>80</v>
      </c>
      <c r="D327" s="3" t="n">
        <v>223428</v>
      </c>
      <c r="E327" s="3" t="n">
        <v>810057</v>
      </c>
      <c r="F327" s="2" t="s">
        <v>14</v>
      </c>
      <c r="G327" s="3" t="n">
        <v>3626</v>
      </c>
      <c r="H327" s="2" t="s">
        <v>15</v>
      </c>
      <c r="I327" s="2" t="n">
        <v>1000</v>
      </c>
      <c r="J327" s="4" t="n">
        <f aca="false">IFERROR(E327*I327/D327,"")</f>
        <v>3625.5840807777</v>
      </c>
      <c r="K327" s="5" t="n">
        <f aca="false">IFERROR((J327-G327)/G327,"")</f>
        <v>-0.000114704694511758</v>
      </c>
      <c r="L327" s="2" t="str">
        <f aca="false">IF(K327="","",IF(ABS(K327)&gt;0.05,"CHECK","OK"))</f>
        <v>OK</v>
      </c>
    </row>
    <row r="328" customFormat="false" ht="15" hidden="false" customHeight="false" outlineLevel="0" collapsed="false">
      <c r="A328" s="2" t="s">
        <v>60</v>
      </c>
      <c r="B328" s="2" t="n">
        <v>2008</v>
      </c>
      <c r="C328" s="2" t="s">
        <v>79</v>
      </c>
      <c r="D328" s="3" t="n">
        <v>90079</v>
      </c>
      <c r="E328" s="3" t="n">
        <v>169944</v>
      </c>
      <c r="F328" s="2" t="s">
        <v>14</v>
      </c>
      <c r="G328" s="3" t="n">
        <v>1887</v>
      </c>
      <c r="H328" s="2" t="s">
        <v>15</v>
      </c>
      <c r="I328" s="2" t="n">
        <v>1000</v>
      </c>
      <c r="J328" s="4" t="n">
        <f aca="false">IFERROR(E328*I328/D328,"")</f>
        <v>1886.61064177</v>
      </c>
      <c r="K328" s="5" t="n">
        <f aca="false">IFERROR((J328-G328)/G328,"")</f>
        <v>-0.000206337164810891</v>
      </c>
      <c r="L328" s="2" t="str">
        <f aca="false">IF(K328="","",IF(ABS(K328)&gt;0.05,"CHECK","OK"))</f>
        <v>OK</v>
      </c>
    </row>
    <row r="329" customFormat="false" ht="15" hidden="false" customHeight="false" outlineLevel="0" collapsed="false">
      <c r="A329" s="2" t="s">
        <v>60</v>
      </c>
      <c r="B329" s="2" t="n">
        <v>2008</v>
      </c>
      <c r="C329" s="2" t="s">
        <v>80</v>
      </c>
      <c r="D329" s="3" t="n">
        <v>286639</v>
      </c>
      <c r="E329" s="3" t="n">
        <v>1257882</v>
      </c>
      <c r="F329" s="2" t="s">
        <v>14</v>
      </c>
      <c r="G329" s="3" t="n">
        <v>4388</v>
      </c>
      <c r="H329" s="2" t="s">
        <v>15</v>
      </c>
      <c r="I329" s="2" t="n">
        <v>1000</v>
      </c>
      <c r="J329" s="4" t="n">
        <f aca="false">IFERROR(E329*I329/D329,"")</f>
        <v>4388.38399519954</v>
      </c>
      <c r="K329" s="5" t="n">
        <f aca="false">IFERROR((J329-G329)/G329,"")</f>
        <v>8.75103007148842E-005</v>
      </c>
      <c r="L329" s="2" t="str">
        <f aca="false">IF(K329="","",IF(ABS(K329)&gt;0.05,"CHECK","OK"))</f>
        <v>OK</v>
      </c>
    </row>
    <row r="330" customFormat="false" ht="15" hidden="false" customHeight="false" outlineLevel="0" collapsed="false">
      <c r="A330" s="2" t="s">
        <v>61</v>
      </c>
      <c r="B330" s="2" t="n">
        <v>2009</v>
      </c>
      <c r="C330" s="2" t="s">
        <v>79</v>
      </c>
      <c r="D330" s="3" t="n">
        <v>82335</v>
      </c>
      <c r="E330" s="3" t="n">
        <v>160939</v>
      </c>
      <c r="F330" s="2" t="s">
        <v>14</v>
      </c>
      <c r="G330" s="3" t="n">
        <v>1955</v>
      </c>
      <c r="H330" s="2" t="s">
        <v>15</v>
      </c>
      <c r="I330" s="2" t="n">
        <v>1000</v>
      </c>
      <c r="J330" s="4" t="n">
        <f aca="false">IFERROR(E330*I330/D330,"")</f>
        <v>1954.68512783142</v>
      </c>
      <c r="K330" s="5" t="n">
        <f aca="false">IFERROR((J330-G330)/G330,"")</f>
        <v>-0.000161059932777259</v>
      </c>
      <c r="L330" s="2" t="str">
        <f aca="false">IF(K330="","",IF(ABS(K330)&gt;0.05,"CHECK","OK"))</f>
        <v>OK</v>
      </c>
    </row>
    <row r="331" customFormat="false" ht="15" hidden="false" customHeight="false" outlineLevel="0" collapsed="false">
      <c r="A331" s="2" t="s">
        <v>61</v>
      </c>
      <c r="B331" s="2" t="n">
        <v>2009</v>
      </c>
      <c r="C331" s="2" t="s">
        <v>80</v>
      </c>
      <c r="D331" s="3" t="n">
        <v>244159</v>
      </c>
      <c r="E331" s="3" t="n">
        <v>1138126</v>
      </c>
      <c r="F331" s="2" t="s">
        <v>14</v>
      </c>
      <c r="G331" s="3" t="n">
        <v>4661</v>
      </c>
      <c r="H331" s="2" t="s">
        <v>15</v>
      </c>
      <c r="I331" s="2" t="n">
        <v>1000</v>
      </c>
      <c r="J331" s="4" t="n">
        <f aca="false">IFERROR(E331*I331/D331,"")</f>
        <v>4661.41325939245</v>
      </c>
      <c r="K331" s="5" t="n">
        <f aca="false">IFERROR((J331-G331)/G331,"")</f>
        <v>8.86632466091118E-005</v>
      </c>
      <c r="L331" s="2" t="str">
        <f aca="false">IF(K331="","",IF(ABS(K331)&gt;0.05,"CHECK","OK"))</f>
        <v>OK</v>
      </c>
    </row>
    <row r="332" customFormat="false" ht="15" hidden="false" customHeight="false" outlineLevel="0" collapsed="false">
      <c r="A332" s="2" t="s">
        <v>62</v>
      </c>
      <c r="B332" s="2" t="n">
        <v>2010</v>
      </c>
      <c r="C332" s="2" t="s">
        <v>79</v>
      </c>
      <c r="D332" s="3" t="n">
        <v>75650</v>
      </c>
      <c r="E332" s="3" t="n">
        <v>171096</v>
      </c>
      <c r="F332" s="2" t="s">
        <v>14</v>
      </c>
      <c r="G332" s="3" t="n">
        <v>2262</v>
      </c>
      <c r="H332" s="2" t="s">
        <v>15</v>
      </c>
      <c r="I332" s="2" t="n">
        <v>1000</v>
      </c>
      <c r="J332" s="4" t="n">
        <f aca="false">IFERROR(E332*I332/D332,"")</f>
        <v>2261.6787838731</v>
      </c>
      <c r="K332" s="5" t="n">
        <f aca="false">IFERROR((J332-G332)/G332,"")</f>
        <v>-0.000142005361140696</v>
      </c>
      <c r="L332" s="2" t="str">
        <f aca="false">IF(K332="","",IF(ABS(K332)&gt;0.05,"CHECK","OK"))</f>
        <v>OK</v>
      </c>
    </row>
    <row r="333" customFormat="false" ht="15" hidden="false" customHeight="false" outlineLevel="0" collapsed="false">
      <c r="A333" s="2" t="s">
        <v>62</v>
      </c>
      <c r="B333" s="2" t="n">
        <v>2010</v>
      </c>
      <c r="C333" s="2" t="s">
        <v>80</v>
      </c>
      <c r="D333" s="3" t="n">
        <v>230489</v>
      </c>
      <c r="E333" s="3" t="n">
        <v>1027536</v>
      </c>
      <c r="F333" s="2" t="s">
        <v>14</v>
      </c>
      <c r="G333" s="3" t="n">
        <v>4458</v>
      </c>
      <c r="H333" s="2" t="s">
        <v>15</v>
      </c>
      <c r="I333" s="2" t="n">
        <v>1000</v>
      </c>
      <c r="J333" s="4" t="n">
        <f aca="false">IFERROR(E333*I333/D333,"")</f>
        <v>4458.06958249635</v>
      </c>
      <c r="K333" s="5" t="n">
        <f aca="false">IFERROR((J333-G333)/G333,"")</f>
        <v>1.56084558871674E-005</v>
      </c>
      <c r="L333" s="2" t="str">
        <f aca="false">IF(K333="","",IF(ABS(K333)&gt;0.05,"CHECK","OK"))</f>
        <v>OK</v>
      </c>
    </row>
    <row r="334" customFormat="false" ht="15" hidden="false" customHeight="false" outlineLevel="0" collapsed="false">
      <c r="A334" s="2" t="s">
        <v>63</v>
      </c>
      <c r="B334" s="2" t="n">
        <v>2011</v>
      </c>
      <c r="C334" s="2" t="s">
        <v>79</v>
      </c>
      <c r="D334" s="3" t="n">
        <v>82805</v>
      </c>
      <c r="E334" s="3" t="n">
        <v>224862</v>
      </c>
      <c r="F334" s="2" t="s">
        <v>14</v>
      </c>
      <c r="G334" s="3" t="n">
        <v>2716</v>
      </c>
      <c r="H334" s="2" t="s">
        <v>15</v>
      </c>
      <c r="I334" s="2" t="n">
        <v>1000</v>
      </c>
      <c r="J334" s="4" t="n">
        <f aca="false">IFERROR(E334*I334/D334,"")</f>
        <v>2715.56065454985</v>
      </c>
      <c r="K334" s="5" t="n">
        <f aca="false">IFERROR((J334-G334)/G334,"")</f>
        <v>-0.000161761947773998</v>
      </c>
      <c r="L334" s="2" t="str">
        <f aca="false">IF(K334="","",IF(ABS(K334)&gt;0.05,"CHECK","OK"))</f>
        <v>OK</v>
      </c>
    </row>
    <row r="335" customFormat="false" ht="15" hidden="false" customHeight="false" outlineLevel="0" collapsed="false">
      <c r="A335" s="2" t="s">
        <v>63</v>
      </c>
      <c r="B335" s="2" t="n">
        <v>2011</v>
      </c>
      <c r="C335" s="2" t="s">
        <v>80</v>
      </c>
      <c r="D335" s="3" t="n">
        <v>280629</v>
      </c>
      <c r="E335" s="3" t="n">
        <v>1695467</v>
      </c>
      <c r="F335" s="2" t="s">
        <v>14</v>
      </c>
      <c r="G335" s="3" t="n">
        <v>6042</v>
      </c>
      <c r="H335" s="2" t="s">
        <v>15</v>
      </c>
      <c r="I335" s="2" t="n">
        <v>1000</v>
      </c>
      <c r="J335" s="4" t="n">
        <f aca="false">IFERROR(E335*I335/D335,"")</f>
        <v>6041.66711209462</v>
      </c>
      <c r="K335" s="5" t="n">
        <f aca="false">IFERROR((J335-G335)/G335,"")</f>
        <v>-5.50956480278498E-005</v>
      </c>
      <c r="L335" s="2" t="str">
        <f aca="false">IF(K335="","",IF(ABS(K335)&gt;0.05,"CHECK","OK"))</f>
        <v>OK</v>
      </c>
    </row>
    <row r="336" customFormat="false" ht="15" hidden="false" customHeight="false" outlineLevel="0" collapsed="false">
      <c r="A336" s="2" t="s">
        <v>64</v>
      </c>
      <c r="B336" s="2" t="n">
        <v>2012</v>
      </c>
      <c r="C336" s="2" t="s">
        <v>79</v>
      </c>
      <c r="D336" s="3" t="n">
        <v>70294</v>
      </c>
      <c r="E336" s="3" t="n">
        <v>138011</v>
      </c>
      <c r="F336" s="2" t="s">
        <v>14</v>
      </c>
      <c r="G336" s="3" t="n">
        <v>1963</v>
      </c>
      <c r="H336" s="2" t="s">
        <v>15</v>
      </c>
      <c r="I336" s="2" t="n">
        <v>1000</v>
      </c>
      <c r="J336" s="4" t="n">
        <f aca="false">IFERROR(E336*I336/D336,"")</f>
        <v>1963.3396875978</v>
      </c>
      <c r="K336" s="5" t="n">
        <f aca="false">IFERROR((J336-G336)/G336,"")</f>
        <v>0.000173045133878504</v>
      </c>
      <c r="L336" s="2" t="str">
        <f aca="false">IF(K336="","",IF(ABS(K336)&gt;0.05,"CHECK","OK"))</f>
        <v>OK</v>
      </c>
    </row>
    <row r="337" customFormat="false" ht="15" hidden="false" customHeight="false" outlineLevel="0" collapsed="false">
      <c r="A337" s="2" t="s">
        <v>64</v>
      </c>
      <c r="B337" s="2" t="n">
        <v>2012</v>
      </c>
      <c r="C337" s="2" t="s">
        <v>80</v>
      </c>
      <c r="D337" s="3" t="n">
        <v>291052</v>
      </c>
      <c r="E337" s="3" t="n">
        <v>946363</v>
      </c>
      <c r="F337" s="2" t="s">
        <v>14</v>
      </c>
      <c r="G337" s="3" t="n">
        <v>3252</v>
      </c>
      <c r="H337" s="2" t="s">
        <v>15</v>
      </c>
      <c r="I337" s="2" t="n">
        <v>1000</v>
      </c>
      <c r="J337" s="4" t="n">
        <f aca="false">IFERROR(E337*I337/D337,"")</f>
        <v>3251.52550059783</v>
      </c>
      <c r="K337" s="5" t="n">
        <f aca="false">IFERROR((J337-G337)/G337,"")</f>
        <v>-0.000145910025267059</v>
      </c>
      <c r="L337" s="2" t="str">
        <f aca="false">IF(K337="","",IF(ABS(K337)&gt;0.05,"CHECK","OK"))</f>
        <v>OK</v>
      </c>
    </row>
    <row r="338" customFormat="false" ht="15" hidden="false" customHeight="false" outlineLevel="0" collapsed="false">
      <c r="A338" s="2" t="s">
        <v>65</v>
      </c>
      <c r="B338" s="2" t="n">
        <v>2013</v>
      </c>
      <c r="C338" s="2" t="s">
        <v>79</v>
      </c>
      <c r="D338" s="3" t="n">
        <v>118699</v>
      </c>
      <c r="E338" s="3" t="n">
        <v>362343</v>
      </c>
      <c r="F338" s="2" t="s">
        <v>14</v>
      </c>
      <c r="G338" s="3" t="n">
        <v>3053</v>
      </c>
      <c r="H338" s="2" t="s">
        <v>15</v>
      </c>
      <c r="I338" s="2" t="n">
        <v>1000</v>
      </c>
      <c r="J338" s="4" t="n">
        <f aca="false">IFERROR(E338*I338/D338,"")</f>
        <v>3052.6204938542</v>
      </c>
      <c r="K338" s="5" t="n">
        <f aca="false">IFERROR((J338-G338)/G338,"")</f>
        <v>-0.00012430597635022</v>
      </c>
      <c r="L338" s="2" t="str">
        <f aca="false">IF(K338="","",IF(ABS(K338)&gt;0.05,"CHECK","OK"))</f>
        <v>OK</v>
      </c>
    </row>
    <row r="339" customFormat="false" ht="15" hidden="false" customHeight="false" outlineLevel="0" collapsed="false">
      <c r="A339" s="2" t="s">
        <v>65</v>
      </c>
      <c r="B339" s="2" t="n">
        <v>2013</v>
      </c>
      <c r="C339" s="2" t="s">
        <v>80</v>
      </c>
      <c r="D339" s="3" t="n">
        <v>380429</v>
      </c>
      <c r="E339" s="3" t="n">
        <v>2245216</v>
      </c>
      <c r="F339" s="2" t="s">
        <v>14</v>
      </c>
      <c r="G339" s="3" t="n">
        <v>5902</v>
      </c>
      <c r="H339" s="2" t="s">
        <v>15</v>
      </c>
      <c r="I339" s="2" t="n">
        <v>1000</v>
      </c>
      <c r="J339" s="4" t="n">
        <f aca="false">IFERROR(E339*I339/D339,"")</f>
        <v>5901.80033593654</v>
      </c>
      <c r="K339" s="5" t="n">
        <f aca="false">IFERROR((J339-G339)/G339,"")</f>
        <v>-3.38298989266701E-005</v>
      </c>
      <c r="L339" s="2" t="str">
        <f aca="false">IF(K339="","",IF(ABS(K339)&gt;0.05,"CHECK","OK"))</f>
        <v>OK</v>
      </c>
    </row>
    <row r="340" customFormat="false" ht="15" hidden="false" customHeight="false" outlineLevel="0" collapsed="false">
      <c r="A340" s="2" t="s">
        <v>66</v>
      </c>
      <c r="B340" s="2" t="n">
        <v>2014</v>
      </c>
      <c r="C340" s="2" t="s">
        <v>79</v>
      </c>
      <c r="D340" s="3" t="n">
        <v>104426</v>
      </c>
      <c r="E340" s="3" t="n">
        <v>349628</v>
      </c>
      <c r="F340" s="2" t="s">
        <v>14</v>
      </c>
      <c r="G340" s="3" t="n">
        <v>3348</v>
      </c>
      <c r="H340" s="2" t="s">
        <v>15</v>
      </c>
      <c r="I340" s="2" t="n">
        <v>1000</v>
      </c>
      <c r="J340" s="4" t="n">
        <f aca="false">IFERROR(E340*I340/D340,"")</f>
        <v>3348.09338670446</v>
      </c>
      <c r="K340" s="5" t="n">
        <f aca="false">IFERROR((J340-G340)/G340,"")</f>
        <v>2.78932809021802E-005</v>
      </c>
      <c r="L340" s="2" t="str">
        <f aca="false">IF(K340="","",IF(ABS(K340)&gt;0.05,"CHECK","OK"))</f>
        <v>OK</v>
      </c>
    </row>
    <row r="341" customFormat="false" ht="15" hidden="false" customHeight="false" outlineLevel="0" collapsed="false">
      <c r="A341" s="2" t="s">
        <v>66</v>
      </c>
      <c r="B341" s="2" t="n">
        <v>2014</v>
      </c>
      <c r="C341" s="2" t="s">
        <v>80</v>
      </c>
      <c r="D341" s="3" t="n">
        <v>321952</v>
      </c>
      <c r="E341" s="3" t="n">
        <v>2647751</v>
      </c>
      <c r="F341" s="2" t="s">
        <v>14</v>
      </c>
      <c r="G341" s="3" t="n">
        <v>8224</v>
      </c>
      <c r="H341" s="2" t="s">
        <v>15</v>
      </c>
      <c r="I341" s="2" t="n">
        <v>1000</v>
      </c>
      <c r="J341" s="4" t="n">
        <f aca="false">IFERROR(E341*I341/D341,"")</f>
        <v>8224.05513865421</v>
      </c>
      <c r="K341" s="5" t="n">
        <f aca="false">IFERROR((J341-G341)/G341,"")</f>
        <v>6.70460289520527E-006</v>
      </c>
      <c r="L341" s="2" t="str">
        <f aca="false">IF(K341="","",IF(ABS(K341)&gt;0.05,"CHECK","OK"))</f>
        <v>OK</v>
      </c>
    </row>
    <row r="342" customFormat="false" ht="15" hidden="false" customHeight="false" outlineLevel="0" collapsed="false">
      <c r="A342" s="2" t="s">
        <v>67</v>
      </c>
      <c r="B342" s="2" t="n">
        <v>2015</v>
      </c>
      <c r="C342" s="2" t="s">
        <v>79</v>
      </c>
      <c r="D342" s="3" t="n">
        <v>89986</v>
      </c>
      <c r="E342" s="3" t="n">
        <v>282054</v>
      </c>
      <c r="F342" s="2" t="s">
        <v>14</v>
      </c>
      <c r="G342" s="3" t="n">
        <v>3132</v>
      </c>
      <c r="H342" s="2" t="s">
        <v>15</v>
      </c>
      <c r="I342" s="2" t="n">
        <v>1000</v>
      </c>
      <c r="J342" s="4" t="n">
        <f aca="false">IFERROR(E342*I342/D342,"")</f>
        <v>3134.42090991932</v>
      </c>
      <c r="K342" s="5" t="n">
        <f aca="false">IFERROR((J342-G342)/G342,"")</f>
        <v>0.000772959744355307</v>
      </c>
      <c r="L342" s="2" t="str">
        <f aca="false">IF(K342="","",IF(ABS(K342)&gt;0.05,"CHECK","OK"))</f>
        <v>OK</v>
      </c>
    </row>
    <row r="343" customFormat="false" ht="15" hidden="false" customHeight="false" outlineLevel="0" collapsed="false">
      <c r="A343" s="2" t="s">
        <v>67</v>
      </c>
      <c r="B343" s="2" t="n">
        <v>2015</v>
      </c>
      <c r="C343" s="2" t="s">
        <v>80</v>
      </c>
      <c r="D343" s="3" t="n">
        <v>355064</v>
      </c>
      <c r="E343" s="3" t="n">
        <v>2532330</v>
      </c>
      <c r="F343" s="2" t="s">
        <v>14</v>
      </c>
      <c r="G343" s="3" t="n">
        <v>7132</v>
      </c>
      <c r="H343" s="2" t="s">
        <v>15</v>
      </c>
      <c r="I343" s="2" t="n">
        <v>1000</v>
      </c>
      <c r="J343" s="4" t="n">
        <f aca="false">IFERROR(E343*I343/D343,"")</f>
        <v>7132.03816776694</v>
      </c>
      <c r="K343" s="5" t="n">
        <f aca="false">IFERROR((J343-G343)/G343,"")</f>
        <v>5.35162183643812E-006</v>
      </c>
      <c r="L343" s="2" t="str">
        <f aca="false">IF(K343="","",IF(ABS(K343)&gt;0.05,"CHECK","OK"))</f>
        <v>OK</v>
      </c>
    </row>
    <row r="344" customFormat="false" ht="15" hidden="false" customHeight="false" outlineLevel="0" collapsed="false">
      <c r="A344" s="2" t="s">
        <v>68</v>
      </c>
      <c r="B344" s="2" t="n">
        <v>2016</v>
      </c>
      <c r="C344" s="2" t="s">
        <v>79</v>
      </c>
      <c r="D344" s="3" t="n">
        <v>61362</v>
      </c>
      <c r="E344" s="3" t="n">
        <v>114429</v>
      </c>
      <c r="F344" s="2" t="s">
        <v>14</v>
      </c>
      <c r="G344" s="3" t="n">
        <v>1865</v>
      </c>
      <c r="H344" s="2" t="s">
        <v>15</v>
      </c>
      <c r="I344" s="2" t="n">
        <v>1000</v>
      </c>
      <c r="J344" s="4" t="n">
        <f aca="false">IFERROR(E344*I344/D344,"")</f>
        <v>1864.81861738535</v>
      </c>
      <c r="K344" s="5" t="n">
        <f aca="false">IFERROR((J344-G344)/G344,"")</f>
        <v>-9.72560936447284E-005</v>
      </c>
      <c r="L344" s="2" t="str">
        <f aca="false">IF(K344="","",IF(ABS(K344)&gt;0.05,"CHECK","OK"))</f>
        <v>OK</v>
      </c>
    </row>
    <row r="345" customFormat="false" ht="15" hidden="false" customHeight="false" outlineLevel="0" collapsed="false">
      <c r="A345" s="2" t="s">
        <v>68</v>
      </c>
      <c r="B345" s="2" t="n">
        <v>2016</v>
      </c>
      <c r="C345" s="2" t="s">
        <v>80</v>
      </c>
      <c r="D345" s="3" t="n">
        <v>315030</v>
      </c>
      <c r="E345" s="3" t="n">
        <v>953377</v>
      </c>
      <c r="F345" s="2" t="s">
        <v>14</v>
      </c>
      <c r="G345" s="3" t="n">
        <v>3026</v>
      </c>
      <c r="H345" s="2" t="s">
        <v>15</v>
      </c>
      <c r="I345" s="2" t="n">
        <v>1000</v>
      </c>
      <c r="J345" s="4" t="n">
        <f aca="false">IFERROR(E345*I345/D345,"")</f>
        <v>3026.30543122877</v>
      </c>
      <c r="K345" s="5" t="n">
        <f aca="false">IFERROR((J345-G345)/G345,"")</f>
        <v>0.000100935634095107</v>
      </c>
      <c r="L345" s="2" t="str">
        <f aca="false">IF(K345="","",IF(ABS(K345)&gt;0.05,"CHECK","OK"))</f>
        <v>OK</v>
      </c>
    </row>
    <row r="346" customFormat="false" ht="15" hidden="false" customHeight="false" outlineLevel="0" collapsed="false">
      <c r="A346" s="2" t="s">
        <v>69</v>
      </c>
      <c r="B346" s="2" t="n">
        <v>2017</v>
      </c>
      <c r="C346" s="2" t="s">
        <v>79</v>
      </c>
      <c r="D346" s="3" t="n">
        <v>86513</v>
      </c>
      <c r="E346" s="3" t="n">
        <v>321332</v>
      </c>
      <c r="F346" s="2" t="s">
        <v>14</v>
      </c>
      <c r="G346" s="3" t="n">
        <v>3714</v>
      </c>
      <c r="H346" s="2" t="s">
        <v>15</v>
      </c>
      <c r="I346" s="2" t="n">
        <v>1000</v>
      </c>
      <c r="J346" s="4" t="n">
        <f aca="false">IFERROR(E346*I346/D346,"")</f>
        <v>3714.2625963728</v>
      </c>
      <c r="K346" s="5" t="n">
        <f aca="false">IFERROR((J346-G346)/G346,"")</f>
        <v>7.07044622508441E-005</v>
      </c>
      <c r="L346" s="2" t="str">
        <f aca="false">IF(K346="","",IF(ABS(K346)&gt;0.05,"CHECK","OK"))</f>
        <v>OK</v>
      </c>
    </row>
    <row r="347" customFormat="false" ht="15" hidden="false" customHeight="false" outlineLevel="0" collapsed="false">
      <c r="A347" s="2" t="s">
        <v>69</v>
      </c>
      <c r="B347" s="2" t="n">
        <v>2017</v>
      </c>
      <c r="C347" s="2" t="s">
        <v>80</v>
      </c>
      <c r="D347" s="3" t="n">
        <v>324518</v>
      </c>
      <c r="E347" s="3" t="n">
        <v>2591632</v>
      </c>
      <c r="F347" s="2" t="s">
        <v>14</v>
      </c>
      <c r="G347" s="3" t="n">
        <v>7986</v>
      </c>
      <c r="H347" s="2" t="s">
        <v>15</v>
      </c>
      <c r="I347" s="2" t="n">
        <v>1000</v>
      </c>
      <c r="J347" s="4" t="n">
        <f aca="false">IFERROR(E347*I347/D347,"")</f>
        <v>7986.0963028245</v>
      </c>
      <c r="K347" s="5" t="n">
        <f aca="false">IFERROR((J347-G347)/G347,"")</f>
        <v>1.20589562355232E-005</v>
      </c>
      <c r="L347" s="2" t="str">
        <f aca="false">IF(K347="","",IF(ABS(K347)&gt;0.05,"CHECK","OK"))</f>
        <v>OK</v>
      </c>
    </row>
    <row r="348" customFormat="false" ht="15" hidden="false" customHeight="false" outlineLevel="0" collapsed="false">
      <c r="A348" s="2" t="s">
        <v>70</v>
      </c>
      <c r="B348" s="2" t="n">
        <v>2018</v>
      </c>
      <c r="C348" s="2" t="s">
        <v>79</v>
      </c>
      <c r="D348" s="3" t="n">
        <v>78593</v>
      </c>
      <c r="E348" s="3" t="n">
        <v>255975</v>
      </c>
      <c r="F348" s="2" t="s">
        <v>14</v>
      </c>
      <c r="G348" s="3" t="n">
        <v>3257</v>
      </c>
      <c r="H348" s="2" t="s">
        <v>15</v>
      </c>
      <c r="I348" s="2" t="n">
        <v>1000</v>
      </c>
      <c r="J348" s="4" t="n">
        <f aca="false">IFERROR(E348*I348/D348,"")</f>
        <v>3256.96945020549</v>
      </c>
      <c r="K348" s="5" t="n">
        <f aca="false">IFERROR((J348-G348)/G348,"")</f>
        <v>-9.37973426803474E-006</v>
      </c>
      <c r="L348" s="2" t="str">
        <f aca="false">IF(K348="","",IF(ABS(K348)&gt;0.05,"CHECK","OK"))</f>
        <v>OK</v>
      </c>
    </row>
    <row r="349" customFormat="false" ht="15" hidden="false" customHeight="false" outlineLevel="0" collapsed="false">
      <c r="A349" s="2" t="s">
        <v>70</v>
      </c>
      <c r="B349" s="2" t="n">
        <v>2018</v>
      </c>
      <c r="C349" s="2" t="s">
        <v>80</v>
      </c>
      <c r="D349" s="3" t="n">
        <v>390602</v>
      </c>
      <c r="E349" s="3" t="n">
        <v>2834437</v>
      </c>
      <c r="F349" s="2" t="s">
        <v>14</v>
      </c>
      <c r="G349" s="3" t="n">
        <v>7257</v>
      </c>
      <c r="H349" s="2" t="s">
        <v>15</v>
      </c>
      <c r="I349" s="2" t="n">
        <v>1000</v>
      </c>
      <c r="J349" s="4" t="n">
        <f aca="false">IFERROR(E349*I349/D349,"")</f>
        <v>7256.58598778296</v>
      </c>
      <c r="K349" s="5" t="n">
        <f aca="false">IFERROR((J349-G349)/G349,"")</f>
        <v>-5.70500505772732E-005</v>
      </c>
      <c r="L349" s="2" t="str">
        <f aca="false">IF(K349="","",IF(ABS(K349)&gt;0.05,"CHECK","OK"))</f>
        <v>OK</v>
      </c>
    </row>
    <row r="350" customFormat="false" ht="15" hidden="false" customHeight="false" outlineLevel="0" collapsed="false">
      <c r="A350" s="2" t="s">
        <v>71</v>
      </c>
      <c r="B350" s="2" t="n">
        <v>2019</v>
      </c>
      <c r="C350" s="2" t="s">
        <v>79</v>
      </c>
      <c r="D350" s="3" t="n">
        <v>84545</v>
      </c>
      <c r="E350" s="3" t="n">
        <v>274474</v>
      </c>
      <c r="F350" s="2" t="s">
        <v>14</v>
      </c>
      <c r="G350" s="3" t="n">
        <v>3247</v>
      </c>
      <c r="H350" s="2" t="s">
        <v>15</v>
      </c>
      <c r="I350" s="2" t="n">
        <v>1000</v>
      </c>
      <c r="J350" s="4" t="n">
        <f aca="false">IFERROR(E350*I350/D350,"")</f>
        <v>3246.48412088237</v>
      </c>
      <c r="K350" s="5" t="n">
        <f aca="false">IFERROR((J350-G350)/G350,"")</f>
        <v>-0.000158878693449196</v>
      </c>
      <c r="L350" s="2" t="str">
        <f aca="false">IF(K350="","",IF(ABS(K350)&gt;0.05,"CHECK","OK"))</f>
        <v>OK</v>
      </c>
    </row>
    <row r="351" customFormat="false" ht="15" hidden="false" customHeight="false" outlineLevel="0" collapsed="false">
      <c r="A351" s="2" t="s">
        <v>71</v>
      </c>
      <c r="B351" s="2" t="n">
        <v>2019</v>
      </c>
      <c r="C351" s="2" t="s">
        <v>80</v>
      </c>
      <c r="D351" s="3" t="n">
        <v>333565</v>
      </c>
      <c r="E351" s="3" t="n">
        <v>2614747</v>
      </c>
      <c r="F351" s="2" t="s">
        <v>14</v>
      </c>
      <c r="G351" s="3" t="n">
        <v>7839</v>
      </c>
      <c r="H351" s="2" t="s">
        <v>15</v>
      </c>
      <c r="I351" s="2" t="n">
        <v>1000</v>
      </c>
      <c r="J351" s="4" t="n">
        <f aca="false">IFERROR(E351*I351/D351,"")</f>
        <v>7838.79303883801</v>
      </c>
      <c r="K351" s="5" t="n">
        <f aca="false">IFERROR((J351-G351)/G351,"")</f>
        <v>-2.64014749320952E-005</v>
      </c>
      <c r="L351" s="2" t="str">
        <f aca="false">IF(K351="","",IF(ABS(K351)&gt;0.05,"CHECK","OK"))</f>
        <v>OK</v>
      </c>
    </row>
    <row r="352" customFormat="false" ht="15" hidden="false" customHeight="false" outlineLevel="0" collapsed="false">
      <c r="A352" s="2" t="s">
        <v>72</v>
      </c>
      <c r="B352" s="2" t="n">
        <v>2020</v>
      </c>
      <c r="C352" s="2" t="s">
        <v>79</v>
      </c>
      <c r="D352" s="3" t="n">
        <v>82919</v>
      </c>
      <c r="E352" s="3" t="n">
        <v>288627</v>
      </c>
      <c r="F352" s="2" t="s">
        <v>14</v>
      </c>
      <c r="G352" s="3" t="n">
        <v>3480</v>
      </c>
      <c r="H352" s="2" t="s">
        <v>15</v>
      </c>
      <c r="I352" s="2" t="n">
        <v>1000</v>
      </c>
      <c r="J352" s="4" t="n">
        <f aca="false">IFERROR(E352*I352/D352,"")</f>
        <v>3480.83069019163</v>
      </c>
      <c r="K352" s="5" t="n">
        <f aca="false">IFERROR((J352-G352)/G352,"")</f>
        <v>0.00023870407805534</v>
      </c>
      <c r="L352" s="2" t="str">
        <f aca="false">IF(K352="","",IF(ABS(K352)&gt;0.05,"CHECK","OK"))</f>
        <v>OK</v>
      </c>
    </row>
    <row r="353" customFormat="false" ht="15" hidden="false" customHeight="false" outlineLevel="0" collapsed="false">
      <c r="A353" s="2" t="s">
        <v>72</v>
      </c>
      <c r="B353" s="2" t="n">
        <v>2020</v>
      </c>
      <c r="C353" s="2" t="s">
        <v>80</v>
      </c>
      <c r="D353" s="3" t="n">
        <v>400210</v>
      </c>
      <c r="E353" s="3" t="n">
        <v>2564805</v>
      </c>
      <c r="F353" s="2" t="s">
        <v>14</v>
      </c>
      <c r="G353" s="3" t="n">
        <v>6409</v>
      </c>
      <c r="H353" s="2" t="s">
        <v>15</v>
      </c>
      <c r="I353" s="2" t="n">
        <v>1000</v>
      </c>
      <c r="J353" s="4" t="n">
        <f aca="false">IFERROR(E353*I353/D353,"")</f>
        <v>6408.64795982109</v>
      </c>
      <c r="K353" s="5" t="n">
        <f aca="false">IFERROR((J353-G353)/G353,"")</f>
        <v>-5.49290340000723E-005</v>
      </c>
      <c r="L353" s="2" t="str">
        <f aca="false">IF(K353="","",IF(ABS(K353)&gt;0.05,"CHECK","OK"))</f>
        <v>OK</v>
      </c>
    </row>
    <row r="354" customFormat="false" ht="15" hidden="false" customHeight="false" outlineLevel="0" collapsed="false">
      <c r="A354" s="2" t="s">
        <v>73</v>
      </c>
      <c r="B354" s="2" t="n">
        <v>2021</v>
      </c>
      <c r="C354" s="2" t="s">
        <v>79</v>
      </c>
      <c r="D354" s="3" t="n">
        <v>74434</v>
      </c>
      <c r="E354" s="3" t="n">
        <v>227476</v>
      </c>
      <c r="F354" s="2" t="s">
        <v>14</v>
      </c>
      <c r="G354" s="3" t="n">
        <v>3056</v>
      </c>
      <c r="H354" s="2" t="s">
        <v>15</v>
      </c>
      <c r="I354" s="2" t="n">
        <v>1000</v>
      </c>
      <c r="J354" s="4" t="n">
        <f aca="false">IFERROR(E354*I354/D354,"")</f>
        <v>3056.07652416906</v>
      </c>
      <c r="K354" s="5" t="n">
        <f aca="false">IFERROR((J354-G354)/G354,"")</f>
        <v>2.50406312376948E-005</v>
      </c>
      <c r="L354" s="2" t="str">
        <f aca="false">IF(K354="","",IF(ABS(K354)&gt;0.05,"CHECK","OK"))</f>
        <v>OK</v>
      </c>
    </row>
    <row r="355" customFormat="false" ht="15" hidden="false" customHeight="false" outlineLevel="0" collapsed="false">
      <c r="A355" s="2" t="s">
        <v>73</v>
      </c>
      <c r="B355" s="2" t="n">
        <v>2021</v>
      </c>
      <c r="C355" s="2" t="s">
        <v>80</v>
      </c>
      <c r="D355" s="3" t="n">
        <v>400076</v>
      </c>
      <c r="E355" s="3" t="n">
        <v>2826745</v>
      </c>
      <c r="F355" s="2" t="s">
        <v>14</v>
      </c>
      <c r="G355" s="3" t="n">
        <v>7066</v>
      </c>
      <c r="H355" s="2" t="s">
        <v>15</v>
      </c>
      <c r="I355" s="2" t="n">
        <v>1000</v>
      </c>
      <c r="J355" s="4" t="n">
        <f aca="false">IFERROR(E355*I355/D355,"")</f>
        <v>7065.52005119027</v>
      </c>
      <c r="K355" s="5" t="n">
        <f aca="false">IFERROR((J355-G355)/G355,"")</f>
        <v>-6.79236922906894E-005</v>
      </c>
      <c r="L355" s="2" t="str">
        <f aca="false">IF(K355="","",IF(ABS(K355)&gt;0.05,"CHECK","OK"))</f>
        <v>OK</v>
      </c>
    </row>
    <row r="356" customFormat="false" ht="15" hidden="false" customHeight="false" outlineLevel="0" collapsed="false">
      <c r="A356" s="2" t="s">
        <v>74</v>
      </c>
      <c r="B356" s="2" t="n">
        <v>2022</v>
      </c>
      <c r="C356" s="2" t="s">
        <v>79</v>
      </c>
      <c r="D356" s="3" t="n">
        <v>69600</v>
      </c>
      <c r="E356" s="3" t="n">
        <v>206553</v>
      </c>
      <c r="F356" s="2" t="s">
        <v>14</v>
      </c>
      <c r="G356" s="3" t="n">
        <v>2968</v>
      </c>
      <c r="H356" s="2" t="s">
        <v>15</v>
      </c>
      <c r="I356" s="2" t="n">
        <v>1000</v>
      </c>
      <c r="J356" s="4" t="n">
        <f aca="false">IFERROR(E356*I356/D356,"")</f>
        <v>2967.71551724138</v>
      </c>
      <c r="K356" s="5" t="n">
        <f aca="false">IFERROR((J356-G356)/G356,"")</f>
        <v>-9.58499860581099E-005</v>
      </c>
      <c r="L356" s="2" t="str">
        <f aca="false">IF(K356="","",IF(ABS(K356)&gt;0.05,"CHECK","OK"))</f>
        <v>OK</v>
      </c>
    </row>
    <row r="357" customFormat="false" ht="15" hidden="false" customHeight="false" outlineLevel="0" collapsed="false">
      <c r="A357" s="2" t="s">
        <v>74</v>
      </c>
      <c r="B357" s="2" t="n">
        <v>2022</v>
      </c>
      <c r="C357" s="2" t="s">
        <v>80</v>
      </c>
      <c r="D357" s="3" t="n">
        <v>426701</v>
      </c>
      <c r="E357" s="3" t="n">
        <v>2989945</v>
      </c>
      <c r="F357" s="2" t="s">
        <v>14</v>
      </c>
      <c r="G357" s="3" t="n">
        <v>7007</v>
      </c>
      <c r="H357" s="2" t="s">
        <v>15</v>
      </c>
      <c r="I357" s="2" t="n">
        <v>1000</v>
      </c>
      <c r="J357" s="4" t="n">
        <f aca="false">IFERROR(E357*I357/D357,"")</f>
        <v>7007.11973958346</v>
      </c>
      <c r="K357" s="5" t="n">
        <f aca="false">IFERROR((J357-G357)/G357,"")</f>
        <v>1.70885662130951E-005</v>
      </c>
      <c r="L357" s="2" t="str">
        <f aca="false">IF(K357="","",IF(ABS(K357)&gt;0.05,"CHECK","OK"))</f>
        <v>OK</v>
      </c>
    </row>
    <row r="358" customFormat="false" ht="15" hidden="false" customHeight="false" outlineLevel="0" collapsed="false">
      <c r="A358" s="2" t="s">
        <v>75</v>
      </c>
      <c r="B358" s="2" t="n">
        <v>2023</v>
      </c>
      <c r="C358" s="2" t="s">
        <v>79</v>
      </c>
      <c r="D358" s="3" t="n">
        <v>71138</v>
      </c>
      <c r="E358" s="3" t="n">
        <v>244169</v>
      </c>
      <c r="F358" s="2" t="s">
        <v>14</v>
      </c>
      <c r="G358" s="3" t="n">
        <v>3432</v>
      </c>
      <c r="H358" s="2" t="s">
        <v>15</v>
      </c>
      <c r="I358" s="2" t="n">
        <v>1000</v>
      </c>
      <c r="J358" s="4" t="n">
        <f aca="false">IFERROR(E358*I358/D358,"")</f>
        <v>3432.32871320532</v>
      </c>
      <c r="K358" s="5" t="n">
        <f aca="false">IFERROR((J358-G358)/G358,"")</f>
        <v>9.57789059787932E-005</v>
      </c>
      <c r="L358" s="2" t="str">
        <f aca="false">IF(K358="","",IF(ABS(K358)&gt;0.05,"CHECK","OK"))</f>
        <v>OK</v>
      </c>
    </row>
    <row r="359" customFormat="false" ht="15" hidden="false" customHeight="false" outlineLevel="0" collapsed="false">
      <c r="A359" s="2" t="s">
        <v>75</v>
      </c>
      <c r="B359" s="2" t="n">
        <v>2023</v>
      </c>
      <c r="C359" s="2" t="s">
        <v>80</v>
      </c>
      <c r="D359" s="3" t="n">
        <v>454620</v>
      </c>
      <c r="E359" s="3" t="n">
        <v>2836410</v>
      </c>
      <c r="F359" s="2" t="s">
        <v>14</v>
      </c>
      <c r="G359" s="3" t="n">
        <v>6239</v>
      </c>
      <c r="H359" s="2" t="s">
        <v>15</v>
      </c>
      <c r="I359" s="2" t="n">
        <v>1000</v>
      </c>
      <c r="J359" s="4" t="n">
        <f aca="false">IFERROR(E359*I359/D359,"")</f>
        <v>6239.07879107826</v>
      </c>
      <c r="K359" s="5" t="n">
        <f aca="false">IFERROR((J359-G359)/G359,"")</f>
        <v>1.26287992086614E-005</v>
      </c>
      <c r="L359" s="2" t="str">
        <f aca="false">IF(K359="","",IF(ABS(K359)&gt;0.05,"CHECK","OK"))</f>
        <v>OK</v>
      </c>
    </row>
    <row r="360" customFormat="false" ht="15" hidden="false" customHeight="false" outlineLevel="0" collapsed="false">
      <c r="A360" s="2" t="s">
        <v>76</v>
      </c>
      <c r="B360" s="2" t="n">
        <v>2024</v>
      </c>
      <c r="C360" s="2" t="s">
        <v>79</v>
      </c>
      <c r="D360" s="3" t="n">
        <v>64279</v>
      </c>
      <c r="E360" s="3" t="n">
        <v>300597</v>
      </c>
      <c r="F360" s="2" t="s">
        <v>14</v>
      </c>
      <c r="G360" s="3" t="n">
        <v>4676</v>
      </c>
      <c r="H360" s="2" t="s">
        <v>15</v>
      </c>
      <c r="I360" s="2" t="n">
        <v>1000</v>
      </c>
      <c r="J360" s="4" t="n">
        <f aca="false">IFERROR(E360*I360/D360,"")</f>
        <v>4676.44176169511</v>
      </c>
      <c r="K360" s="5" t="n">
        <f aca="false">IFERROR((J360-G360)/G360,"")</f>
        <v>9.44742718371411E-005</v>
      </c>
      <c r="L360" s="2" t="str">
        <f aca="false">IF(K360="","",IF(ABS(K360)&gt;0.05,"CHECK","OK"))</f>
        <v>OK</v>
      </c>
    </row>
    <row r="361" customFormat="false" ht="15" hidden="false" customHeight="false" outlineLevel="0" collapsed="false">
      <c r="A361" s="2" t="s">
        <v>76</v>
      </c>
      <c r="B361" s="2" t="n">
        <v>2024</v>
      </c>
      <c r="C361" s="2" t="s">
        <v>80</v>
      </c>
      <c r="D361" s="3" t="n">
        <v>485420</v>
      </c>
      <c r="E361" s="3" t="n">
        <v>2663601</v>
      </c>
      <c r="F361" s="2" t="s">
        <v>14</v>
      </c>
      <c r="G361" s="3" t="n">
        <v>5487</v>
      </c>
      <c r="H361" s="2" t="s">
        <v>15</v>
      </c>
      <c r="I361" s="2" t="n">
        <v>1000</v>
      </c>
      <c r="J361" s="4" t="n">
        <f aca="false">IFERROR(E361*I361/D361,"")</f>
        <v>5487.20901487372</v>
      </c>
      <c r="K361" s="5" t="n">
        <f aca="false">IFERROR((J361-G361)/G361,"")</f>
        <v>3.80927417018286E-005</v>
      </c>
      <c r="L361" s="2" t="str">
        <f aca="false">IF(K361="","",IF(ABS(K361)&gt;0.05,"CHECK","OK"))</f>
        <v>OK</v>
      </c>
    </row>
    <row r="362" customFormat="false" ht="15" hidden="false" customHeight="false" outlineLevel="0" collapsed="false">
      <c r="A362" s="2" t="s">
        <v>12</v>
      </c>
      <c r="B362" s="2" t="n">
        <v>1965</v>
      </c>
      <c r="C362" s="2" t="s">
        <v>81</v>
      </c>
      <c r="D362" s="3" t="n">
        <v>4467785</v>
      </c>
      <c r="E362" s="3" t="n">
        <v>4929950</v>
      </c>
      <c r="F362" s="2" t="s">
        <v>14</v>
      </c>
      <c r="G362" s="3" t="n">
        <v>1103</v>
      </c>
      <c r="H362" s="2" t="s">
        <v>15</v>
      </c>
      <c r="I362" s="2" t="n">
        <v>1000</v>
      </c>
      <c r="J362" s="4" t="n">
        <f aca="false">IFERROR(E362*I362/D362,"")</f>
        <v>1103.4438765518</v>
      </c>
      <c r="K362" s="5" t="n">
        <f aca="false">IFERROR((J362-G362)/G362,"")</f>
        <v>0.000402426610882746</v>
      </c>
      <c r="L362" s="2" t="str">
        <f aca="false">IF(K362="","",IF(ABS(K362)&gt;0.05,"CHECK","OK"))</f>
        <v>OK</v>
      </c>
    </row>
    <row r="363" customFormat="false" ht="15" hidden="false" customHeight="false" outlineLevel="0" collapsed="false">
      <c r="A363" s="2" t="s">
        <v>12</v>
      </c>
      <c r="B363" s="2" t="n">
        <v>1965</v>
      </c>
      <c r="C363" s="2" t="s">
        <v>82</v>
      </c>
      <c r="D363" s="3" t="n">
        <v>48111</v>
      </c>
      <c r="E363" s="3" t="n">
        <v>21890</v>
      </c>
      <c r="F363" s="2" t="s">
        <v>14</v>
      </c>
      <c r="G363" s="3" t="n">
        <v>455</v>
      </c>
      <c r="H363" s="2" t="s">
        <v>15</v>
      </c>
      <c r="I363" s="2" t="n">
        <v>1000</v>
      </c>
      <c r="J363" s="4" t="n">
        <f aca="false">IFERROR(E363*I363/D363,"")</f>
        <v>454.989503439962</v>
      </c>
      <c r="K363" s="5" t="n">
        <f aca="false">IFERROR((J363-G363)/G363,"")</f>
        <v>-2.30693627213941E-005</v>
      </c>
      <c r="L363" s="2" t="str">
        <f aca="false">IF(K363="","",IF(ABS(K363)&gt;0.05,"CHECK","OK"))</f>
        <v>OK</v>
      </c>
    </row>
    <row r="364" customFormat="false" ht="15" hidden="false" customHeight="false" outlineLevel="0" collapsed="false">
      <c r="A364" s="2" t="s">
        <v>18</v>
      </c>
      <c r="B364" s="2" t="n">
        <v>1966</v>
      </c>
      <c r="C364" s="2" t="s">
        <v>81</v>
      </c>
      <c r="D364" s="3" t="n">
        <v>4648926</v>
      </c>
      <c r="E364" s="3" t="n">
        <v>5346010</v>
      </c>
      <c r="F364" s="2" t="s">
        <v>14</v>
      </c>
      <c r="G364" s="3" t="n">
        <v>1150</v>
      </c>
      <c r="H364" s="2" t="s">
        <v>15</v>
      </c>
      <c r="I364" s="2" t="n">
        <v>1000</v>
      </c>
      <c r="J364" s="4" t="n">
        <f aca="false">IFERROR(E364*I364/D364,"")</f>
        <v>1149.94517013177</v>
      </c>
      <c r="K364" s="5" t="n">
        <f aca="false">IFERROR((J364-G364)/G364,"")</f>
        <v>-4.76781462886878E-005</v>
      </c>
      <c r="L364" s="2" t="str">
        <f aca="false">IF(K364="","",IF(ABS(K364)&gt;0.05,"CHECK","OK"))</f>
        <v>OK</v>
      </c>
    </row>
    <row r="365" customFormat="false" ht="15" hidden="false" customHeight="false" outlineLevel="0" collapsed="false">
      <c r="A365" s="2" t="s">
        <v>18</v>
      </c>
      <c r="B365" s="2" t="n">
        <v>1966</v>
      </c>
      <c r="C365" s="2" t="s">
        <v>82</v>
      </c>
      <c r="D365" s="3" t="n">
        <v>57668</v>
      </c>
      <c r="E365" s="3" t="n">
        <v>26340</v>
      </c>
      <c r="F365" s="2" t="s">
        <v>14</v>
      </c>
      <c r="G365" s="3" t="n">
        <v>448</v>
      </c>
      <c r="H365" s="2" t="s">
        <v>15</v>
      </c>
      <c r="I365" s="2" t="n">
        <v>1000</v>
      </c>
      <c r="J365" s="4" t="n">
        <f aca="false">IFERROR(E365*I365/D365,"")</f>
        <v>456.752445030173</v>
      </c>
      <c r="K365" s="5" t="n">
        <f aca="false">IFERROR((J365-G365)/G365,"")</f>
        <v>0.0195367076566356</v>
      </c>
      <c r="L365" s="2" t="str">
        <f aca="false">IF(K365="","",IF(ABS(K365)&gt;0.05,"CHECK","OK"))</f>
        <v>OK</v>
      </c>
    </row>
    <row r="366" customFormat="false" ht="15" hidden="false" customHeight="false" outlineLevel="0" collapsed="false">
      <c r="A366" s="2" t="s">
        <v>19</v>
      </c>
      <c r="B366" s="2" t="n">
        <v>1967</v>
      </c>
      <c r="C366" s="2" t="s">
        <v>81</v>
      </c>
      <c r="D366" s="3" t="n">
        <v>4558792</v>
      </c>
      <c r="E366" s="3" t="n">
        <v>5302760</v>
      </c>
      <c r="F366" s="2" t="s">
        <v>14</v>
      </c>
      <c r="G366" s="3" t="n">
        <v>1163</v>
      </c>
      <c r="H366" s="2" t="s">
        <v>15</v>
      </c>
      <c r="I366" s="2" t="n">
        <v>1000</v>
      </c>
      <c r="J366" s="4" t="n">
        <f aca="false">IFERROR(E366*I366/D366,"")</f>
        <v>1163.19410931668</v>
      </c>
      <c r="K366" s="5" t="n">
        <f aca="false">IFERROR((J366-G366)/G366,"")</f>
        <v>0.000166903969629044</v>
      </c>
      <c r="L366" s="2" t="str">
        <f aca="false">IF(K366="","",IF(ABS(K366)&gt;0.05,"CHECK","OK"))</f>
        <v>OK</v>
      </c>
    </row>
    <row r="367" customFormat="false" ht="15" hidden="false" customHeight="false" outlineLevel="0" collapsed="false">
      <c r="A367" s="2" t="s">
        <v>19</v>
      </c>
      <c r="B367" s="2" t="n">
        <v>1967</v>
      </c>
      <c r="C367" s="2" t="s">
        <v>82</v>
      </c>
      <c r="D367" s="3" t="n">
        <v>51284</v>
      </c>
      <c r="E367" s="3" t="n">
        <v>23310</v>
      </c>
      <c r="F367" s="2" t="s">
        <v>14</v>
      </c>
      <c r="G367" s="3" t="n">
        <v>450</v>
      </c>
      <c r="H367" s="2" t="s">
        <v>15</v>
      </c>
      <c r="I367" s="2" t="n">
        <v>1000</v>
      </c>
      <c r="J367" s="4" t="n">
        <f aca="false">IFERROR(E367*I367/D367,"")</f>
        <v>454.527727946338</v>
      </c>
      <c r="K367" s="5" t="n">
        <f aca="false">IFERROR((J367-G367)/G367,"")</f>
        <v>0.0100616176585289</v>
      </c>
      <c r="L367" s="2" t="str">
        <f aca="false">IF(K367="","",IF(ABS(K367)&gt;0.05,"CHECK","OK"))</f>
        <v>OK</v>
      </c>
    </row>
    <row r="368" customFormat="false" ht="15" hidden="false" customHeight="false" outlineLevel="0" collapsed="false">
      <c r="A368" s="2" t="s">
        <v>20</v>
      </c>
      <c r="B368" s="2" t="n">
        <v>1968</v>
      </c>
      <c r="C368" s="2" t="s">
        <v>81</v>
      </c>
      <c r="D368" s="3" t="n">
        <v>4269755</v>
      </c>
      <c r="E368" s="3" t="n">
        <v>4955870</v>
      </c>
      <c r="F368" s="2" t="s">
        <v>14</v>
      </c>
      <c r="G368" s="3" t="n">
        <v>1161</v>
      </c>
      <c r="H368" s="2" t="s">
        <v>15</v>
      </c>
      <c r="I368" s="2" t="n">
        <v>1000</v>
      </c>
      <c r="J368" s="4" t="n">
        <f aca="false">IFERROR(E368*I368/D368,"")</f>
        <v>1160.69188981569</v>
      </c>
      <c r="K368" s="5" t="n">
        <f aca="false">IFERROR((J368-G368)/G368,"")</f>
        <v>-0.000265383449016285</v>
      </c>
      <c r="L368" s="2" t="str">
        <f aca="false">IF(K368="","",IF(ABS(K368)&gt;0.05,"CHECK","OK"))</f>
        <v>OK</v>
      </c>
    </row>
    <row r="369" customFormat="false" ht="15" hidden="false" customHeight="false" outlineLevel="0" collapsed="false">
      <c r="A369" s="2" t="s">
        <v>20</v>
      </c>
      <c r="B369" s="2" t="n">
        <v>1968</v>
      </c>
      <c r="C369" s="2" t="s">
        <v>82</v>
      </c>
      <c r="D369" s="3" t="n">
        <v>44190</v>
      </c>
      <c r="E369" s="3" t="n">
        <v>20280</v>
      </c>
      <c r="F369" s="2" t="s">
        <v>14</v>
      </c>
      <c r="G369" s="3" t="n">
        <v>457</v>
      </c>
      <c r="H369" s="2" t="s">
        <v>15</v>
      </c>
      <c r="I369" s="2" t="n">
        <v>1000</v>
      </c>
      <c r="J369" s="4" t="n">
        <f aca="false">IFERROR(E369*I369/D369,"")</f>
        <v>458.927359131025</v>
      </c>
      <c r="K369" s="5" t="n">
        <f aca="false">IFERROR((J369-G369)/G369,"")</f>
        <v>0.00421741604163048</v>
      </c>
      <c r="L369" s="2" t="str">
        <f aca="false">IF(K369="","",IF(ABS(K369)&gt;0.05,"CHECK","OK"))</f>
        <v>OK</v>
      </c>
    </row>
    <row r="370" customFormat="false" ht="15" hidden="false" customHeight="false" outlineLevel="0" collapsed="false">
      <c r="A370" s="2" t="s">
        <v>21</v>
      </c>
      <c r="B370" s="2" t="n">
        <v>1969</v>
      </c>
      <c r="C370" s="2" t="s">
        <v>81</v>
      </c>
      <c r="D370" s="3" t="n">
        <v>4591007</v>
      </c>
      <c r="E370" s="3" t="n">
        <v>5621050</v>
      </c>
      <c r="F370" s="2" t="s">
        <v>14</v>
      </c>
      <c r="G370" s="3" t="n">
        <v>1224</v>
      </c>
      <c r="H370" s="2" t="s">
        <v>15</v>
      </c>
      <c r="I370" s="2" t="n">
        <v>1000</v>
      </c>
      <c r="J370" s="4" t="n">
        <f aca="false">IFERROR(E370*I370/D370,"")</f>
        <v>1224.36101709276</v>
      </c>
      <c r="K370" s="5" t="n">
        <f aca="false">IFERROR((J370-G370)/G370,"")</f>
        <v>0.000294948605199417</v>
      </c>
      <c r="L370" s="2" t="str">
        <f aca="false">IF(K370="","",IF(ABS(K370)&gt;0.05,"CHECK","OK"))</f>
        <v>OK</v>
      </c>
    </row>
    <row r="371" customFormat="false" ht="15" hidden="false" customHeight="false" outlineLevel="0" collapsed="false">
      <c r="A371" s="2" t="s">
        <v>21</v>
      </c>
      <c r="B371" s="2" t="n">
        <v>1969</v>
      </c>
      <c r="C371" s="2" t="s">
        <v>82</v>
      </c>
      <c r="D371" s="3" t="n">
        <v>46666</v>
      </c>
      <c r="E371" s="3" t="n">
        <v>21590</v>
      </c>
      <c r="F371" s="2" t="s">
        <v>14</v>
      </c>
      <c r="G371" s="3" t="n">
        <v>463</v>
      </c>
      <c r="H371" s="2" t="s">
        <v>15</v>
      </c>
      <c r="I371" s="2" t="n">
        <v>1000</v>
      </c>
      <c r="J371" s="4" t="n">
        <f aca="false">IFERROR(E371*I371/D371,"")</f>
        <v>462.649466420949</v>
      </c>
      <c r="K371" s="5" t="n">
        <f aca="false">IFERROR((J371-G371)/G371,"")</f>
        <v>-0.00075709196339331</v>
      </c>
      <c r="L371" s="2" t="str">
        <f aca="false">IF(K371="","",IF(ABS(K371)&gt;0.05,"CHECK","OK"))</f>
        <v>OK</v>
      </c>
    </row>
    <row r="372" customFormat="false" ht="15" hidden="false" customHeight="false" outlineLevel="0" collapsed="false">
      <c r="A372" s="2" t="s">
        <v>22</v>
      </c>
      <c r="B372" s="2" t="n">
        <v>1970</v>
      </c>
      <c r="C372" s="2" t="s">
        <v>81</v>
      </c>
      <c r="D372" s="3" t="n">
        <v>4618158</v>
      </c>
      <c r="E372" s="3" t="n">
        <v>6573410</v>
      </c>
      <c r="F372" s="2" t="s">
        <v>14</v>
      </c>
      <c r="G372" s="3" t="n">
        <v>1423</v>
      </c>
      <c r="H372" s="2" t="s">
        <v>15</v>
      </c>
      <c r="I372" s="2" t="n">
        <v>1000</v>
      </c>
      <c r="J372" s="4" t="n">
        <f aca="false">IFERROR(E372*I372/D372,"")</f>
        <v>1423.38352217486</v>
      </c>
      <c r="K372" s="5" t="n">
        <f aca="false">IFERROR((J372-G372)/G372,"")</f>
        <v>0.000269516637286296</v>
      </c>
      <c r="L372" s="2" t="str">
        <f aca="false">IF(K372="","",IF(ABS(K372)&gt;0.05,"CHECK","OK"))</f>
        <v>OK</v>
      </c>
    </row>
    <row r="373" customFormat="false" ht="15" hidden="false" customHeight="false" outlineLevel="0" collapsed="false">
      <c r="A373" s="2" t="s">
        <v>22</v>
      </c>
      <c r="B373" s="2" t="n">
        <v>1970</v>
      </c>
      <c r="C373" s="2" t="s">
        <v>82</v>
      </c>
      <c r="D373" s="3" t="n">
        <v>62693</v>
      </c>
      <c r="E373" s="3" t="n">
        <v>28710</v>
      </c>
      <c r="F373" s="2" t="s">
        <v>14</v>
      </c>
      <c r="G373" s="3" t="n">
        <v>461</v>
      </c>
      <c r="H373" s="2" t="s">
        <v>15</v>
      </c>
      <c r="I373" s="2" t="n">
        <v>1000</v>
      </c>
      <c r="J373" s="4" t="n">
        <f aca="false">IFERROR(E373*I373/D373,"")</f>
        <v>457.945863174517</v>
      </c>
      <c r="K373" s="5" t="n">
        <f aca="false">IFERROR((J373-G373)/G373,"")</f>
        <v>-0.00662502565180669</v>
      </c>
      <c r="L373" s="2" t="str">
        <f aca="false">IF(K373="","",IF(ABS(K373)&gt;0.05,"CHECK","OK"))</f>
        <v>OK</v>
      </c>
    </row>
    <row r="374" customFormat="false" ht="15" hidden="false" customHeight="false" outlineLevel="0" collapsed="false">
      <c r="A374" s="2" t="s">
        <v>23</v>
      </c>
      <c r="B374" s="2" t="n">
        <v>1971</v>
      </c>
      <c r="C374" s="2" t="s">
        <v>81</v>
      </c>
      <c r="D374" s="3" t="n">
        <v>4574158</v>
      </c>
      <c r="E374" s="3" t="n">
        <v>6686820</v>
      </c>
      <c r="F374" s="2" t="s">
        <v>14</v>
      </c>
      <c r="G374" s="3" t="n">
        <v>1462</v>
      </c>
      <c r="H374" s="2" t="s">
        <v>15</v>
      </c>
      <c r="I374" s="2" t="n">
        <v>1000</v>
      </c>
      <c r="J374" s="4" t="n">
        <f aca="false">IFERROR(E374*I374/D374,"")</f>
        <v>1461.86904781164</v>
      </c>
      <c r="K374" s="5" t="n">
        <f aca="false">IFERROR((J374-G374)/G374,"")</f>
        <v>-8.95705802729552E-005</v>
      </c>
      <c r="L374" s="2" t="str">
        <f aca="false">IF(K374="","",IF(ABS(K374)&gt;0.05,"CHECK","OK"))</f>
        <v>OK</v>
      </c>
    </row>
    <row r="375" customFormat="false" ht="15" hidden="false" customHeight="false" outlineLevel="0" collapsed="false">
      <c r="A375" s="2" t="s">
        <v>23</v>
      </c>
      <c r="B375" s="2" t="n">
        <v>1971</v>
      </c>
      <c r="C375" s="2" t="s">
        <v>82</v>
      </c>
      <c r="D375" s="3" t="n">
        <v>100211</v>
      </c>
      <c r="E375" s="3" t="n">
        <v>50130</v>
      </c>
      <c r="F375" s="2" t="s">
        <v>14</v>
      </c>
      <c r="G375" s="3" t="n">
        <v>500</v>
      </c>
      <c r="H375" s="2" t="s">
        <v>15</v>
      </c>
      <c r="I375" s="2" t="n">
        <v>1000</v>
      </c>
      <c r="J375" s="4" t="n">
        <f aca="false">IFERROR(E375*I375/D375,"")</f>
        <v>500.244484138468</v>
      </c>
      <c r="K375" s="5" t="n">
        <f aca="false">IFERROR((J375-G375)/G375,"")</f>
        <v>0.00048896827693568</v>
      </c>
      <c r="L375" s="2" t="str">
        <f aca="false">IF(K375="","",IF(ABS(K375)&gt;0.05,"CHECK","OK"))</f>
        <v>OK</v>
      </c>
    </row>
    <row r="376" customFormat="false" ht="15" hidden="false" customHeight="false" outlineLevel="0" collapsed="false">
      <c r="A376" s="2" t="s">
        <v>24</v>
      </c>
      <c r="B376" s="2" t="n">
        <v>1972</v>
      </c>
      <c r="C376" s="2" t="s">
        <v>81</v>
      </c>
      <c r="D376" s="3" t="n">
        <v>4641267</v>
      </c>
      <c r="E376" s="3" t="n">
        <v>6939320</v>
      </c>
      <c r="F376" s="2" t="s">
        <v>14</v>
      </c>
      <c r="G376" s="3" t="n">
        <v>1495</v>
      </c>
      <c r="H376" s="2" t="s">
        <v>15</v>
      </c>
      <c r="I376" s="2" t="n">
        <v>1000</v>
      </c>
      <c r="J376" s="4" t="n">
        <f aca="false">IFERROR(E376*I376/D376,"")</f>
        <v>1495.13484141292</v>
      </c>
      <c r="K376" s="5" t="n">
        <f aca="false">IFERROR((J376-G376)/G376,"")</f>
        <v>9.01949250273415E-005</v>
      </c>
      <c r="L376" s="2" t="str">
        <f aca="false">IF(K376="","",IF(ABS(K376)&gt;0.05,"CHECK","OK"))</f>
        <v>OK</v>
      </c>
    </row>
    <row r="377" customFormat="false" ht="15" hidden="false" customHeight="false" outlineLevel="0" collapsed="false">
      <c r="A377" s="2" t="s">
        <v>24</v>
      </c>
      <c r="B377" s="2" t="n">
        <v>1972</v>
      </c>
      <c r="C377" s="2" t="s">
        <v>82</v>
      </c>
      <c r="D377" s="3" t="n">
        <v>93900</v>
      </c>
      <c r="E377" s="3" t="n">
        <v>45810</v>
      </c>
      <c r="F377" s="2" t="s">
        <v>14</v>
      </c>
      <c r="G377" s="3" t="n">
        <v>487</v>
      </c>
      <c r="H377" s="2" t="s">
        <v>15</v>
      </c>
      <c r="I377" s="2" t="n">
        <v>1000</v>
      </c>
      <c r="J377" s="4" t="n">
        <f aca="false">IFERROR(E377*I377/D377,"")</f>
        <v>487.859424920128</v>
      </c>
      <c r="K377" s="5" t="n">
        <f aca="false">IFERROR((J377-G377)/G377,"")</f>
        <v>0.00176473289553968</v>
      </c>
      <c r="L377" s="2" t="str">
        <f aca="false">IF(K377="","",IF(ABS(K377)&gt;0.05,"CHECK","OK"))</f>
        <v>OK</v>
      </c>
    </row>
    <row r="378" customFormat="false" ht="15" hidden="false" customHeight="false" outlineLevel="0" collapsed="false">
      <c r="A378" s="2" t="s">
        <v>25</v>
      </c>
      <c r="B378" s="2" t="n">
        <v>1973</v>
      </c>
      <c r="C378" s="2" t="s">
        <v>81</v>
      </c>
      <c r="D378" s="3" t="n">
        <v>4401549</v>
      </c>
      <c r="E378" s="3" t="n">
        <v>7094410</v>
      </c>
      <c r="F378" s="2" t="s">
        <v>14</v>
      </c>
      <c r="G378" s="3" t="n">
        <v>1612</v>
      </c>
      <c r="H378" s="2" t="s">
        <v>15</v>
      </c>
      <c r="I378" s="2" t="n">
        <v>1000</v>
      </c>
      <c r="J378" s="4" t="n">
        <f aca="false">IFERROR(E378*I378/D378,"")</f>
        <v>1611.79848276141</v>
      </c>
      <c r="K378" s="5" t="n">
        <f aca="false">IFERROR((J378-G378)/G378,"")</f>
        <v>-0.000125010693914524</v>
      </c>
      <c r="L378" s="2" t="str">
        <f aca="false">IF(K378="","",IF(ABS(K378)&gt;0.05,"CHECK","OK"))</f>
        <v>OK</v>
      </c>
    </row>
    <row r="379" customFormat="false" ht="15" hidden="false" customHeight="false" outlineLevel="0" collapsed="false">
      <c r="A379" s="2" t="s">
        <v>25</v>
      </c>
      <c r="B379" s="2" t="n">
        <v>1973</v>
      </c>
      <c r="C379" s="2" t="s">
        <v>82</v>
      </c>
      <c r="D379" s="3" t="n">
        <v>95327</v>
      </c>
      <c r="E379" s="3" t="n">
        <v>48430</v>
      </c>
      <c r="F379" s="2" t="s">
        <v>14</v>
      </c>
      <c r="G379" s="3" t="n">
        <v>508</v>
      </c>
      <c r="H379" s="2" t="s">
        <v>15</v>
      </c>
      <c r="I379" s="2" t="n">
        <v>1000</v>
      </c>
      <c r="J379" s="4" t="n">
        <f aca="false">IFERROR(E379*I379/D379,"")</f>
        <v>508.040743965508</v>
      </c>
      <c r="K379" s="5" t="n">
        <f aca="false">IFERROR((J379-G379)/G379,"")</f>
        <v>8.02046565121462E-005</v>
      </c>
      <c r="L379" s="2" t="str">
        <f aca="false">IF(K379="","",IF(ABS(K379)&gt;0.05,"CHECK","OK"))</f>
        <v>OK</v>
      </c>
    </row>
    <row r="380" customFormat="false" ht="15" hidden="false" customHeight="false" outlineLevel="0" collapsed="false">
      <c r="A380" s="2" t="s">
        <v>26</v>
      </c>
      <c r="B380" s="2" t="n">
        <v>1974</v>
      </c>
      <c r="C380" s="2" t="s">
        <v>81</v>
      </c>
      <c r="D380" s="3" t="n">
        <v>3939606</v>
      </c>
      <c r="E380" s="3" t="n">
        <v>4682530</v>
      </c>
      <c r="F380" s="2" t="s">
        <v>14</v>
      </c>
      <c r="G380" s="3" t="n">
        <v>1189</v>
      </c>
      <c r="H380" s="2" t="s">
        <v>15</v>
      </c>
      <c r="I380" s="2" t="n">
        <v>1000</v>
      </c>
      <c r="J380" s="4" t="n">
        <f aca="false">IFERROR(E380*I380/D380,"")</f>
        <v>1188.57824868781</v>
      </c>
      <c r="K380" s="5" t="n">
        <f aca="false">IFERROR((J380-G380)/G380,"")</f>
        <v>-0.000354710943807484</v>
      </c>
      <c r="L380" s="2" t="str">
        <f aca="false">IF(K380="","",IF(ABS(K380)&gt;0.05,"CHECK","OK"))</f>
        <v>OK</v>
      </c>
    </row>
    <row r="381" customFormat="false" ht="15" hidden="false" customHeight="false" outlineLevel="0" collapsed="false">
      <c r="A381" s="2" t="s">
        <v>26</v>
      </c>
      <c r="B381" s="2" t="n">
        <v>1974</v>
      </c>
      <c r="C381" s="2" t="s">
        <v>82</v>
      </c>
      <c r="D381" s="3" t="n">
        <v>68092</v>
      </c>
      <c r="E381" s="3" t="n">
        <v>31400</v>
      </c>
      <c r="F381" s="2" t="s">
        <v>14</v>
      </c>
      <c r="G381" s="3" t="n">
        <v>461</v>
      </c>
      <c r="H381" s="2" t="s">
        <v>15</v>
      </c>
      <c r="I381" s="2" t="n">
        <v>1000</v>
      </c>
      <c r="J381" s="4" t="n">
        <f aca="false">IFERROR(E381*I381/D381,"")</f>
        <v>461.140809493039</v>
      </c>
      <c r="K381" s="5" t="n">
        <f aca="false">IFERROR((J381-G381)/G381,"")</f>
        <v>0.000305443585767528</v>
      </c>
      <c r="L381" s="2" t="str">
        <f aca="false">IF(K381="","",IF(ABS(K381)&gt;0.05,"CHECK","OK"))</f>
        <v>OK</v>
      </c>
    </row>
    <row r="382" customFormat="false" ht="15" hidden="false" customHeight="false" outlineLevel="0" collapsed="false">
      <c r="A382" s="2" t="s">
        <v>27</v>
      </c>
      <c r="B382" s="2" t="n">
        <v>1975</v>
      </c>
      <c r="C382" s="2" t="s">
        <v>81</v>
      </c>
      <c r="D382" s="3" t="n">
        <v>4597467</v>
      </c>
      <c r="E382" s="3" t="n">
        <v>7057080</v>
      </c>
      <c r="F382" s="2" t="s">
        <v>14</v>
      </c>
      <c r="G382" s="3" t="n">
        <v>1535</v>
      </c>
      <c r="H382" s="2" t="s">
        <v>15</v>
      </c>
      <c r="I382" s="2" t="n">
        <v>1000</v>
      </c>
      <c r="J382" s="4" t="n">
        <f aca="false">IFERROR(E382*I382/D382,"")</f>
        <v>1534.99307335974</v>
      </c>
      <c r="K382" s="5" t="n">
        <f aca="false">IFERROR((J382-G382)/G382,"")</f>
        <v>-4.51246922250929E-006</v>
      </c>
      <c r="L382" s="2" t="str">
        <f aca="false">IF(K382="","",IF(ABS(K382)&gt;0.05,"CHECK","OK"))</f>
        <v>OK</v>
      </c>
    </row>
    <row r="383" customFormat="false" ht="15" hidden="false" customHeight="false" outlineLevel="0" collapsed="false">
      <c r="A383" s="2" t="s">
        <v>27</v>
      </c>
      <c r="B383" s="2" t="n">
        <v>1975</v>
      </c>
      <c r="C383" s="2" t="s">
        <v>82</v>
      </c>
      <c r="D383" s="3" t="n">
        <v>80619</v>
      </c>
      <c r="E383" s="3" t="n">
        <v>41870</v>
      </c>
      <c r="F383" s="2" t="s">
        <v>14</v>
      </c>
      <c r="G383" s="3" t="n">
        <v>519</v>
      </c>
      <c r="H383" s="2" t="s">
        <v>15</v>
      </c>
      <c r="I383" s="2" t="n">
        <v>1000</v>
      </c>
      <c r="J383" s="4" t="n">
        <f aca="false">IFERROR(E383*I383/D383,"")</f>
        <v>519.356479241866</v>
      </c>
      <c r="K383" s="5" t="n">
        <f aca="false">IFERROR((J383-G383)/G383,"")</f>
        <v>0.00068685788413498</v>
      </c>
      <c r="L383" s="2" t="str">
        <f aca="false">IF(K383="","",IF(ABS(K383)&gt;0.05,"CHECK","OK"))</f>
        <v>OK</v>
      </c>
    </row>
    <row r="384" customFormat="false" ht="15" hidden="false" customHeight="false" outlineLevel="0" collapsed="false">
      <c r="A384" s="2" t="s">
        <v>28</v>
      </c>
      <c r="B384" s="2" t="n">
        <v>1976</v>
      </c>
      <c r="C384" s="2" t="s">
        <v>81</v>
      </c>
      <c r="D384" s="3" t="n">
        <v>4361149</v>
      </c>
      <c r="E384" s="3" t="n">
        <v>6160040</v>
      </c>
      <c r="F384" s="2" t="s">
        <v>14</v>
      </c>
      <c r="G384" s="3" t="n">
        <v>1412</v>
      </c>
      <c r="H384" s="2" t="s">
        <v>15</v>
      </c>
      <c r="I384" s="2" t="n">
        <v>1000</v>
      </c>
      <c r="J384" s="4" t="n">
        <f aca="false">IFERROR(E384*I384/D384,"")</f>
        <v>1412.48097691686</v>
      </c>
      <c r="K384" s="5" t="n">
        <f aca="false">IFERROR((J384-G384)/G384,"")</f>
        <v>0.000340635210242938</v>
      </c>
      <c r="L384" s="2" t="str">
        <f aca="false">IF(K384="","",IF(ABS(K384)&gt;0.05,"CHECK","OK"))</f>
        <v>OK</v>
      </c>
    </row>
    <row r="385" customFormat="false" ht="15" hidden="false" customHeight="false" outlineLevel="0" collapsed="false">
      <c r="A385" s="2" t="s">
        <v>28</v>
      </c>
      <c r="B385" s="2" t="n">
        <v>1976</v>
      </c>
      <c r="C385" s="2" t="s">
        <v>82</v>
      </c>
      <c r="D385" s="3" t="n">
        <v>84279</v>
      </c>
      <c r="E385" s="3" t="n">
        <v>42950</v>
      </c>
      <c r="F385" s="2" t="s">
        <v>14</v>
      </c>
      <c r="G385" s="3" t="n">
        <v>510</v>
      </c>
      <c r="H385" s="2" t="s">
        <v>15</v>
      </c>
      <c r="I385" s="2" t="n">
        <v>1000</v>
      </c>
      <c r="J385" s="4" t="n">
        <f aca="false">IFERROR(E385*I385/D385,"")</f>
        <v>509.616867784383</v>
      </c>
      <c r="K385" s="5" t="n">
        <f aca="false">IFERROR((J385-G385)/G385,"")</f>
        <v>-0.000751239638465088</v>
      </c>
      <c r="L385" s="2" t="str">
        <f aca="false">IF(K385="","",IF(ABS(K385)&gt;0.05,"CHECK","OK"))</f>
        <v>OK</v>
      </c>
    </row>
    <row r="386" customFormat="false" ht="15" hidden="false" customHeight="false" outlineLevel="0" collapsed="false">
      <c r="A386" s="2" t="s">
        <v>29</v>
      </c>
      <c r="B386" s="2" t="n">
        <v>1977</v>
      </c>
      <c r="C386" s="2" t="s">
        <v>81</v>
      </c>
      <c r="D386" s="3" t="n">
        <v>4720499</v>
      </c>
      <c r="E386" s="3" t="n">
        <v>7554180</v>
      </c>
      <c r="F386" s="2" t="s">
        <v>14</v>
      </c>
      <c r="G386" s="3" t="n">
        <v>1600</v>
      </c>
      <c r="H386" s="2" t="s">
        <v>15</v>
      </c>
      <c r="I386" s="2" t="n">
        <v>1000</v>
      </c>
      <c r="J386" s="4" t="n">
        <f aca="false">IFERROR(E386*I386/D386,"")</f>
        <v>1600.29268092208</v>
      </c>
      <c r="K386" s="5" t="n">
        <f aca="false">IFERROR((J386-G386)/G386,"")</f>
        <v>0.000182925576300335</v>
      </c>
      <c r="L386" s="2" t="str">
        <f aca="false">IF(K386="","",IF(ABS(K386)&gt;0.05,"CHECK","OK"))</f>
        <v>OK</v>
      </c>
    </row>
    <row r="387" customFormat="false" ht="15" hidden="false" customHeight="false" outlineLevel="0" collapsed="false">
      <c r="A387" s="2" t="s">
        <v>29</v>
      </c>
      <c r="B387" s="2" t="n">
        <v>1977</v>
      </c>
      <c r="C387" s="2" t="s">
        <v>82</v>
      </c>
      <c r="D387" s="3" t="n">
        <v>80827</v>
      </c>
      <c r="E387" s="3" t="n">
        <v>37660</v>
      </c>
      <c r="F387" s="2" t="s">
        <v>14</v>
      </c>
      <c r="G387" s="3" t="n">
        <v>466</v>
      </c>
      <c r="H387" s="2" t="s">
        <v>15</v>
      </c>
      <c r="I387" s="2" t="n">
        <v>1000</v>
      </c>
      <c r="J387" s="4" t="n">
        <f aca="false">IFERROR(E387*I387/D387,"")</f>
        <v>465.933413339602</v>
      </c>
      <c r="K387" s="5" t="n">
        <f aca="false">IFERROR((J387-G387)/G387,"")</f>
        <v>-0.000142889829180506</v>
      </c>
      <c r="L387" s="2" t="str">
        <f aca="false">IF(K387="","",IF(ABS(K387)&gt;0.05,"CHECK","OK"))</f>
        <v>OK</v>
      </c>
    </row>
    <row r="388" customFormat="false" ht="15" hidden="false" customHeight="false" outlineLevel="0" collapsed="false">
      <c r="A388" s="2" t="s">
        <v>30</v>
      </c>
      <c r="B388" s="2" t="n">
        <v>1978</v>
      </c>
      <c r="C388" s="2" t="s">
        <v>81</v>
      </c>
      <c r="D388" s="3" t="n">
        <v>4539658</v>
      </c>
      <c r="E388" s="3" t="n">
        <v>7379000</v>
      </c>
      <c r="F388" s="2" t="s">
        <v>14</v>
      </c>
      <c r="G388" s="3" t="n">
        <v>1625</v>
      </c>
      <c r="H388" s="2" t="s">
        <v>15</v>
      </c>
      <c r="I388" s="2" t="n">
        <v>1000</v>
      </c>
      <c r="J388" s="4" t="n">
        <f aca="false">IFERROR(E388*I388/D388,"")</f>
        <v>1625.45284248285</v>
      </c>
      <c r="K388" s="5" t="n">
        <f aca="false">IFERROR((J388-G388)/G388,"")</f>
        <v>0.000278672297137186</v>
      </c>
      <c r="L388" s="2" t="str">
        <f aca="false">IF(K388="","",IF(ABS(K388)&gt;0.05,"CHECK","OK"))</f>
        <v>OK</v>
      </c>
    </row>
    <row r="389" customFormat="false" ht="15" hidden="false" customHeight="false" outlineLevel="0" collapsed="false">
      <c r="A389" s="2" t="s">
        <v>30</v>
      </c>
      <c r="B389" s="2" t="n">
        <v>1978</v>
      </c>
      <c r="C389" s="2" t="s">
        <v>82</v>
      </c>
      <c r="D389" s="3" t="n">
        <v>73416</v>
      </c>
      <c r="E389" s="3" t="n">
        <v>50660</v>
      </c>
      <c r="F389" s="2" t="s">
        <v>14</v>
      </c>
      <c r="G389" s="3" t="n">
        <v>690</v>
      </c>
      <c r="H389" s="2" t="s">
        <v>15</v>
      </c>
      <c r="I389" s="2" t="n">
        <v>1000</v>
      </c>
      <c r="J389" s="4" t="n">
        <f aca="false">IFERROR(E389*I389/D389,"")</f>
        <v>690.040318186771</v>
      </c>
      <c r="K389" s="5" t="n">
        <f aca="false">IFERROR((J389-G389)/G389,"")</f>
        <v>5.84321547409962E-005</v>
      </c>
      <c r="L389" s="2" t="str">
        <f aca="false">IF(K389="","",IF(ABS(K389)&gt;0.05,"CHECK","OK"))</f>
        <v>OK</v>
      </c>
    </row>
    <row r="390" customFormat="false" ht="15" hidden="false" customHeight="false" outlineLevel="0" collapsed="false">
      <c r="A390" s="2" t="s">
        <v>31</v>
      </c>
      <c r="B390" s="2" t="n">
        <v>1979</v>
      </c>
      <c r="C390" s="2" t="s">
        <v>81</v>
      </c>
      <c r="D390" s="3" t="n">
        <v>4646927</v>
      </c>
      <c r="E390" s="3" t="n">
        <v>7446050</v>
      </c>
      <c r="F390" s="2" t="s">
        <v>14</v>
      </c>
      <c r="G390" s="3" t="n">
        <v>1602</v>
      </c>
      <c r="H390" s="2" t="s">
        <v>15</v>
      </c>
      <c r="I390" s="2" t="n">
        <v>1000</v>
      </c>
      <c r="J390" s="4" t="n">
        <f aca="false">IFERROR(E390*I390/D390,"")</f>
        <v>1602.36001125045</v>
      </c>
      <c r="K390" s="5" t="n">
        <f aca="false">IFERROR((J390-G390)/G390,"")</f>
        <v>0.000224726123873735</v>
      </c>
      <c r="L390" s="2" t="str">
        <f aca="false">IF(K390="","",IF(ABS(K390)&gt;0.05,"CHECK","OK"))</f>
        <v>OK</v>
      </c>
    </row>
    <row r="391" customFormat="false" ht="15" hidden="false" customHeight="false" outlineLevel="0" collapsed="false">
      <c r="A391" s="2" t="s">
        <v>31</v>
      </c>
      <c r="B391" s="2" t="n">
        <v>1979</v>
      </c>
      <c r="C391" s="2" t="s">
        <v>82</v>
      </c>
      <c r="D391" s="3" t="n">
        <v>68518</v>
      </c>
      <c r="E391" s="3" t="n">
        <v>43290</v>
      </c>
      <c r="F391" s="2" t="s">
        <v>14</v>
      </c>
      <c r="G391" s="3" t="n">
        <v>632</v>
      </c>
      <c r="H391" s="2" t="s">
        <v>15</v>
      </c>
      <c r="I391" s="2" t="n">
        <v>1000</v>
      </c>
      <c r="J391" s="4" t="n">
        <f aca="false">IFERROR(E391*I391/D391,"")</f>
        <v>631.804781225372</v>
      </c>
      <c r="K391" s="5" t="n">
        <f aca="false">IFERROR((J391-G391)/G391,"")</f>
        <v>-0.000308890466184381</v>
      </c>
      <c r="L391" s="2" t="str">
        <f aca="false">IF(K391="","",IF(ABS(K391)&gt;0.05,"CHECK","OK"))</f>
        <v>OK</v>
      </c>
    </row>
    <row r="392" customFormat="false" ht="15" hidden="false" customHeight="false" outlineLevel="0" collapsed="false">
      <c r="A392" s="2" t="s">
        <v>32</v>
      </c>
      <c r="B392" s="2" t="n">
        <v>1980</v>
      </c>
      <c r="C392" s="2" t="s">
        <v>81</v>
      </c>
      <c r="D392" s="3" t="n">
        <v>3702826</v>
      </c>
      <c r="E392" s="3" t="n">
        <v>5475270</v>
      </c>
      <c r="F392" s="2" t="s">
        <v>14</v>
      </c>
      <c r="G392" s="3" t="n">
        <v>1479</v>
      </c>
      <c r="H392" s="2" t="s">
        <v>15</v>
      </c>
      <c r="I392" s="2" t="n">
        <v>1000</v>
      </c>
      <c r="J392" s="4" t="n">
        <f aca="false">IFERROR(E392*I392/D392,"")</f>
        <v>1478.67331600243</v>
      </c>
      <c r="K392" s="5" t="n">
        <f aca="false">IFERROR((J392-G392)/G392,"")</f>
        <v>-0.000220881675168228</v>
      </c>
      <c r="L392" s="2" t="str">
        <f aca="false">IF(K392="","",IF(ABS(K392)&gt;0.05,"CHECK","OK"))</f>
        <v>OK</v>
      </c>
    </row>
    <row r="393" customFormat="false" ht="15" hidden="false" customHeight="false" outlineLevel="0" collapsed="false">
      <c r="A393" s="2" t="s">
        <v>32</v>
      </c>
      <c r="B393" s="2" t="n">
        <v>1980</v>
      </c>
      <c r="C393" s="2" t="s">
        <v>82</v>
      </c>
      <c r="D393" s="3" t="n">
        <v>60308</v>
      </c>
      <c r="E393" s="3" t="n">
        <v>34550</v>
      </c>
      <c r="F393" s="2" t="s">
        <v>14</v>
      </c>
      <c r="G393" s="3" t="n">
        <v>573</v>
      </c>
      <c r="H393" s="2" t="s">
        <v>15</v>
      </c>
      <c r="I393" s="2" t="n">
        <v>1000</v>
      </c>
      <c r="J393" s="4" t="n">
        <f aca="false">IFERROR(E393*I393/D393,"")</f>
        <v>572.892485242422</v>
      </c>
      <c r="K393" s="5" t="n">
        <f aca="false">IFERROR((J393-G393)/G393,"")</f>
        <v>-0.000187634829978615</v>
      </c>
      <c r="L393" s="2" t="str">
        <f aca="false">IF(K393="","",IF(ABS(K393)&gt;0.05,"CHECK","OK"))</f>
        <v>OK</v>
      </c>
    </row>
    <row r="394" customFormat="false" ht="15" hidden="false" customHeight="false" outlineLevel="0" collapsed="false">
      <c r="A394" s="2" t="s">
        <v>33</v>
      </c>
      <c r="B394" s="2" t="n">
        <v>1981</v>
      </c>
      <c r="C394" s="2" t="s">
        <v>81</v>
      </c>
      <c r="D394" s="3" t="n">
        <v>4103340</v>
      </c>
      <c r="E394" s="3" t="n">
        <v>7187880</v>
      </c>
      <c r="F394" s="2" t="s">
        <v>14</v>
      </c>
      <c r="G394" s="3" t="n">
        <v>1752</v>
      </c>
      <c r="H394" s="2" t="s">
        <v>15</v>
      </c>
      <c r="I394" s="2" t="n">
        <v>1000</v>
      </c>
      <c r="J394" s="4" t="n">
        <f aca="false">IFERROR(E394*I394/D394,"")</f>
        <v>1751.71445700332</v>
      </c>
      <c r="K394" s="5" t="n">
        <f aca="false">IFERROR((J394-G394)/G394,"")</f>
        <v>-0.000162981162489019</v>
      </c>
      <c r="L394" s="2" t="str">
        <f aca="false">IF(K394="","",IF(ABS(K394)&gt;0.05,"CHECK","OK"))</f>
        <v>OK</v>
      </c>
    </row>
    <row r="395" customFormat="false" ht="15" hidden="false" customHeight="false" outlineLevel="0" collapsed="false">
      <c r="A395" s="2" t="s">
        <v>33</v>
      </c>
      <c r="B395" s="2" t="n">
        <v>1981</v>
      </c>
      <c r="C395" s="2" t="s">
        <v>82</v>
      </c>
      <c r="D395" s="3" t="n">
        <v>78340</v>
      </c>
      <c r="E395" s="3" t="n">
        <v>46290</v>
      </c>
      <c r="F395" s="2" t="s">
        <v>14</v>
      </c>
      <c r="G395" s="3" t="n">
        <v>591</v>
      </c>
      <c r="H395" s="2" t="s">
        <v>15</v>
      </c>
      <c r="I395" s="2" t="n">
        <v>1000</v>
      </c>
      <c r="J395" s="4" t="n">
        <f aca="false">IFERROR(E395*I395/D395,"")</f>
        <v>590.885882052591</v>
      </c>
      <c r="K395" s="5" t="n">
        <f aca="false">IFERROR((J395-G395)/G395,"")</f>
        <v>-0.000193092973618904</v>
      </c>
      <c r="L395" s="2" t="str">
        <f aca="false">IF(K395="","",IF(ABS(K395)&gt;0.05,"CHECK","OK"))</f>
        <v>OK</v>
      </c>
    </row>
    <row r="396" customFormat="false" ht="15" hidden="false" customHeight="false" outlineLevel="0" collapsed="false">
      <c r="A396" s="2" t="s">
        <v>34</v>
      </c>
      <c r="B396" s="2" t="n">
        <v>1982</v>
      </c>
      <c r="C396" s="2" t="s">
        <v>81</v>
      </c>
      <c r="D396" s="3" t="n">
        <v>3435118</v>
      </c>
      <c r="E396" s="3" t="n">
        <v>4733550</v>
      </c>
      <c r="F396" s="2" t="s">
        <v>14</v>
      </c>
      <c r="G396" s="3" t="n">
        <v>1378</v>
      </c>
      <c r="H396" s="2" t="s">
        <v>15</v>
      </c>
      <c r="I396" s="2" t="n">
        <v>1000</v>
      </c>
      <c r="J396" s="4" t="n">
        <f aca="false">IFERROR(E396*I396/D396,"")</f>
        <v>1377.98759751485</v>
      </c>
      <c r="K396" s="5" t="n">
        <f aca="false">IFERROR((J396-G396)/G396,"")</f>
        <v>-9.00035207168371E-006</v>
      </c>
      <c r="L396" s="2" t="str">
        <f aca="false">IF(K396="","",IF(ABS(K396)&gt;0.05,"CHECK","OK"))</f>
        <v>OK</v>
      </c>
    </row>
    <row r="397" customFormat="false" ht="15" hidden="false" customHeight="false" outlineLevel="0" collapsed="false">
      <c r="A397" s="2" t="s">
        <v>34</v>
      </c>
      <c r="B397" s="2" t="n">
        <v>1982</v>
      </c>
      <c r="C397" s="2" t="s">
        <v>82</v>
      </c>
      <c r="D397" s="3" t="n">
        <v>81620</v>
      </c>
      <c r="E397" s="3" t="n">
        <v>38410</v>
      </c>
      <c r="F397" s="2" t="s">
        <v>14</v>
      </c>
      <c r="G397" s="3" t="n">
        <v>471</v>
      </c>
      <c r="H397" s="2" t="s">
        <v>15</v>
      </c>
      <c r="I397" s="2" t="n">
        <v>1000</v>
      </c>
      <c r="J397" s="4" t="n">
        <f aca="false">IFERROR(E397*I397/D397,"")</f>
        <v>470.595442293556</v>
      </c>
      <c r="K397" s="5" t="n">
        <f aca="false">IFERROR((J397-G397)/G397,"")</f>
        <v>-0.000858933559330163</v>
      </c>
      <c r="L397" s="2" t="str">
        <f aca="false">IF(K397="","",IF(ABS(K397)&gt;0.05,"CHECK","OK"))</f>
        <v>OK</v>
      </c>
    </row>
    <row r="398" customFormat="false" ht="15" hidden="false" customHeight="false" outlineLevel="0" collapsed="false">
      <c r="A398" s="2" t="s">
        <v>35</v>
      </c>
      <c r="B398" s="2" t="n">
        <v>1983</v>
      </c>
      <c r="C398" s="2" t="s">
        <v>81</v>
      </c>
      <c r="D398" s="3" t="n">
        <v>4075584</v>
      </c>
      <c r="E398" s="3" t="n">
        <v>6039410</v>
      </c>
      <c r="F398" s="2" t="s">
        <v>14</v>
      </c>
      <c r="G398" s="3" t="n">
        <v>1482</v>
      </c>
      <c r="H398" s="2" t="s">
        <v>15</v>
      </c>
      <c r="I398" s="2" t="n">
        <v>1000</v>
      </c>
      <c r="J398" s="4" t="n">
        <f aca="false">IFERROR(E398*I398/D398,"")</f>
        <v>1481.85143527897</v>
      </c>
      <c r="K398" s="5" t="n">
        <f aca="false">IFERROR((J398-G398)/G398,"")</f>
        <v>-0.000100246100560954</v>
      </c>
      <c r="L398" s="2" t="str">
        <f aca="false">IF(K398="","",IF(ABS(K398)&gt;0.05,"CHECK","OK"))</f>
        <v>OK</v>
      </c>
    </row>
    <row r="399" customFormat="false" ht="15" hidden="false" customHeight="false" outlineLevel="0" collapsed="false">
      <c r="A399" s="2" t="s">
        <v>35</v>
      </c>
      <c r="B399" s="2" t="n">
        <v>1983</v>
      </c>
      <c r="C399" s="2" t="s">
        <v>82</v>
      </c>
      <c r="D399" s="3" t="n">
        <v>91483</v>
      </c>
      <c r="E399" s="3" t="n">
        <v>57690</v>
      </c>
      <c r="F399" s="2" t="s">
        <v>14</v>
      </c>
      <c r="G399" s="3" t="n">
        <v>631</v>
      </c>
      <c r="H399" s="2" t="s">
        <v>15</v>
      </c>
      <c r="I399" s="2" t="n">
        <v>1000</v>
      </c>
      <c r="J399" s="4" t="n">
        <f aca="false">IFERROR(E399*I399/D399,"")</f>
        <v>630.608965600166</v>
      </c>
      <c r="K399" s="5" t="n">
        <f aca="false">IFERROR((J399-G399)/G399,"")</f>
        <v>-0.000619705863445119</v>
      </c>
      <c r="L399" s="2" t="str">
        <f aca="false">IF(K399="","",IF(ABS(K399)&gt;0.05,"CHECK","OK"))</f>
        <v>OK</v>
      </c>
    </row>
    <row r="400" customFormat="false" ht="15" hidden="false" customHeight="false" outlineLevel="0" collapsed="false">
      <c r="A400" s="2" t="s">
        <v>36</v>
      </c>
      <c r="B400" s="2" t="n">
        <v>1984</v>
      </c>
      <c r="C400" s="2" t="s">
        <v>81</v>
      </c>
      <c r="D400" s="3" t="n">
        <v>4011157</v>
      </c>
      <c r="E400" s="3" t="n">
        <v>6638950</v>
      </c>
      <c r="F400" s="2" t="s">
        <v>14</v>
      </c>
      <c r="G400" s="3" t="n">
        <v>1655</v>
      </c>
      <c r="H400" s="2" t="s">
        <v>15</v>
      </c>
      <c r="I400" s="2" t="n">
        <v>1000</v>
      </c>
      <c r="J400" s="4" t="n">
        <f aca="false">IFERROR(E400*I400/D400,"")</f>
        <v>1655.12095387939</v>
      </c>
      <c r="K400" s="5" t="n">
        <f aca="false">IFERROR((J400-G400)/G400,"")</f>
        <v>7.30839150404175E-005</v>
      </c>
      <c r="L400" s="2" t="str">
        <f aca="false">IF(K400="","",IF(ABS(K400)&gt;0.05,"CHECK","OK"))</f>
        <v>OK</v>
      </c>
    </row>
    <row r="401" customFormat="false" ht="15" hidden="false" customHeight="false" outlineLevel="0" collapsed="false">
      <c r="A401" s="2" t="s">
        <v>36</v>
      </c>
      <c r="B401" s="2" t="n">
        <v>1984</v>
      </c>
      <c r="C401" s="2" t="s">
        <v>82</v>
      </c>
      <c r="D401" s="3" t="n">
        <v>76270</v>
      </c>
      <c r="E401" s="3" t="n">
        <v>50900</v>
      </c>
      <c r="F401" s="2" t="s">
        <v>14</v>
      </c>
      <c r="G401" s="3" t="n">
        <v>667</v>
      </c>
      <c r="H401" s="2" t="s">
        <v>15</v>
      </c>
      <c r="I401" s="2" t="n">
        <v>1000</v>
      </c>
      <c r="J401" s="4" t="n">
        <f aca="false">IFERROR(E401*I401/D401,"")</f>
        <v>667.365936803461</v>
      </c>
      <c r="K401" s="5" t="n">
        <f aca="false">IFERROR((J401-G401)/G401,"")</f>
        <v>0.00054863088974724</v>
      </c>
      <c r="L401" s="2" t="str">
        <f aca="false">IF(K401="","",IF(ABS(K401)&gt;0.05,"CHECK","OK"))</f>
        <v>OK</v>
      </c>
    </row>
    <row r="402" customFormat="false" ht="15" hidden="false" customHeight="false" outlineLevel="0" collapsed="false">
      <c r="A402" s="2" t="s">
        <v>37</v>
      </c>
      <c r="B402" s="2" t="n">
        <v>1985</v>
      </c>
      <c r="C402" s="2" t="s">
        <v>81</v>
      </c>
      <c r="D402" s="3" t="n">
        <v>3776079</v>
      </c>
      <c r="E402" s="3" t="n">
        <v>6994840</v>
      </c>
      <c r="F402" s="2" t="s">
        <v>14</v>
      </c>
      <c r="G402" s="3" t="n">
        <v>1852</v>
      </c>
      <c r="H402" s="2" t="s">
        <v>15</v>
      </c>
      <c r="I402" s="2" t="n">
        <v>1000</v>
      </c>
      <c r="J402" s="4" t="n">
        <f aca="false">IFERROR(E402*I402/D402,"")</f>
        <v>1852.40827853443</v>
      </c>
      <c r="K402" s="5" t="n">
        <f aca="false">IFERROR((J402-G402)/G402,"")</f>
        <v>0.000220452772368751</v>
      </c>
      <c r="L402" s="2" t="str">
        <f aca="false">IF(K402="","",IF(ABS(K402)&gt;0.05,"CHECK","OK"))</f>
        <v>OK</v>
      </c>
    </row>
    <row r="403" customFormat="false" ht="15" hidden="false" customHeight="false" outlineLevel="0" collapsed="false">
      <c r="A403" s="2" t="s">
        <v>37</v>
      </c>
      <c r="B403" s="2" t="n">
        <v>1985</v>
      </c>
      <c r="C403" s="2" t="s">
        <v>82</v>
      </c>
      <c r="D403" s="3" t="n">
        <v>80499</v>
      </c>
      <c r="E403" s="3" t="n">
        <v>71750</v>
      </c>
      <c r="F403" s="2" t="s">
        <v>14</v>
      </c>
      <c r="G403" s="3" t="n">
        <v>891</v>
      </c>
      <c r="H403" s="2" t="s">
        <v>15</v>
      </c>
      <c r="I403" s="2" t="n">
        <v>1000</v>
      </c>
      <c r="J403" s="4" t="n">
        <f aca="false">IFERROR(E403*I403/D403,"")</f>
        <v>891.31542006733</v>
      </c>
      <c r="K403" s="5" t="n">
        <f aca="false">IFERROR((J403-G403)/G403,"")</f>
        <v>0.00035400680957354</v>
      </c>
      <c r="L403" s="2" t="str">
        <f aca="false">IF(K403="","",IF(ABS(K403)&gt;0.05,"CHECK","OK"))</f>
        <v>OK</v>
      </c>
    </row>
    <row r="404" customFormat="false" ht="15" hidden="false" customHeight="false" outlineLevel="0" collapsed="false">
      <c r="A404" s="2" t="s">
        <v>38</v>
      </c>
      <c r="B404" s="2" t="n">
        <v>1986</v>
      </c>
      <c r="C404" s="2" t="s">
        <v>81</v>
      </c>
      <c r="D404" s="3" t="n">
        <v>3443754</v>
      </c>
      <c r="E404" s="3" t="n">
        <v>6869400</v>
      </c>
      <c r="F404" s="2" t="s">
        <v>14</v>
      </c>
      <c r="G404" s="3" t="n">
        <v>1995</v>
      </c>
      <c r="H404" s="2" t="s">
        <v>15</v>
      </c>
      <c r="I404" s="2" t="n">
        <v>1000</v>
      </c>
      <c r="J404" s="4" t="n">
        <f aca="false">IFERROR(E404*I404/D404,"")</f>
        <v>1994.74178469194</v>
      </c>
      <c r="K404" s="5" t="n">
        <f aca="false">IFERROR((J404-G404)/G404,"")</f>
        <v>-0.00012943123211131</v>
      </c>
      <c r="L404" s="2" t="str">
        <f aca="false">IF(K404="","",IF(ABS(K404)&gt;0.05,"CHECK","OK"))</f>
        <v>OK</v>
      </c>
    </row>
    <row r="405" customFormat="false" ht="15" hidden="false" customHeight="false" outlineLevel="0" collapsed="false">
      <c r="A405" s="2" t="s">
        <v>38</v>
      </c>
      <c r="B405" s="2" t="n">
        <v>1986</v>
      </c>
      <c r="C405" s="2" t="s">
        <v>82</v>
      </c>
      <c r="D405" s="3" t="n">
        <v>88237</v>
      </c>
      <c r="E405" s="3" t="n">
        <v>86350</v>
      </c>
      <c r="F405" s="2" t="s">
        <v>14</v>
      </c>
      <c r="G405" s="3" t="n">
        <v>979</v>
      </c>
      <c r="H405" s="2" t="s">
        <v>15</v>
      </c>
      <c r="I405" s="2" t="n">
        <v>1000</v>
      </c>
      <c r="J405" s="4" t="n">
        <f aca="false">IFERROR(E405*I405/D405,"")</f>
        <v>978.614413454673</v>
      </c>
      <c r="K405" s="5" t="n">
        <f aca="false">IFERROR((J405-G405)/G405,"")</f>
        <v>-0.000393857553959918</v>
      </c>
      <c r="L405" s="2" t="str">
        <f aca="false">IF(K405="","",IF(ABS(K405)&gt;0.05,"CHECK","OK"))</f>
        <v>OK</v>
      </c>
    </row>
    <row r="406" customFormat="false" ht="15" hidden="false" customHeight="false" outlineLevel="0" collapsed="false">
      <c r="A406" s="2" t="s">
        <v>39</v>
      </c>
      <c r="B406" s="2" t="n">
        <v>1987</v>
      </c>
      <c r="C406" s="2" t="s">
        <v>81</v>
      </c>
      <c r="D406" s="3" t="n">
        <v>3360940</v>
      </c>
      <c r="E406" s="3" t="n">
        <v>7196990</v>
      </c>
      <c r="F406" s="2" t="s">
        <v>14</v>
      </c>
      <c r="G406" s="3" t="n">
        <v>2141</v>
      </c>
      <c r="H406" s="2" t="s">
        <v>15</v>
      </c>
      <c r="I406" s="2" t="n">
        <v>1000</v>
      </c>
      <c r="J406" s="4" t="n">
        <f aca="false">IFERROR(E406*I406/D406,"")</f>
        <v>2141.36223794534</v>
      </c>
      <c r="K406" s="5" t="n">
        <f aca="false">IFERROR((J406-G406)/G406,"")</f>
        <v>0.000169191006696311</v>
      </c>
      <c r="L406" s="2" t="str">
        <f aca="false">IF(K406="","",IF(ABS(K406)&gt;0.05,"CHECK","OK"))</f>
        <v>OK</v>
      </c>
    </row>
    <row r="407" customFormat="false" ht="15" hidden="false" customHeight="false" outlineLevel="0" collapsed="false">
      <c r="A407" s="2" t="s">
        <v>39</v>
      </c>
      <c r="B407" s="2" t="n">
        <v>1987</v>
      </c>
      <c r="C407" s="2" t="s">
        <v>82</v>
      </c>
      <c r="D407" s="3" t="n">
        <v>88464</v>
      </c>
      <c r="E407" s="3" t="n">
        <v>55840</v>
      </c>
      <c r="F407" s="2" t="s">
        <v>14</v>
      </c>
      <c r="G407" s="3" t="n">
        <v>631</v>
      </c>
      <c r="H407" s="2" t="s">
        <v>15</v>
      </c>
      <c r="I407" s="2" t="n">
        <v>1000</v>
      </c>
      <c r="J407" s="4" t="n">
        <f aca="false">IFERROR(E407*I407/D407,"")</f>
        <v>631.217218303491</v>
      </c>
      <c r="K407" s="5" t="n">
        <f aca="false">IFERROR((J407-G407)/G407,"")</f>
        <v>0.000344244538020054</v>
      </c>
      <c r="L407" s="2" t="str">
        <f aca="false">IF(K407="","",IF(ABS(K407)&gt;0.05,"CHECK","OK"))</f>
        <v>OK</v>
      </c>
    </row>
    <row r="408" customFormat="false" ht="15" hidden="false" customHeight="false" outlineLevel="0" collapsed="false">
      <c r="A408" s="2" t="s">
        <v>40</v>
      </c>
      <c r="B408" s="2" t="n">
        <v>1988</v>
      </c>
      <c r="C408" s="2" t="s">
        <v>81</v>
      </c>
      <c r="D408" s="3" t="n">
        <v>3117875</v>
      </c>
      <c r="E408" s="3" t="n">
        <v>7081810</v>
      </c>
      <c r="F408" s="2" t="s">
        <v>14</v>
      </c>
      <c r="G408" s="3" t="n">
        <v>2271</v>
      </c>
      <c r="H408" s="2" t="s">
        <v>15</v>
      </c>
      <c r="I408" s="2" t="n">
        <v>1000</v>
      </c>
      <c r="J408" s="4" t="n">
        <f aca="false">IFERROR(E408*I408/D408,"")</f>
        <v>2271.35789600289</v>
      </c>
      <c r="K408" s="5" t="n">
        <f aca="false">IFERROR((J408-G408)/G408,"")</f>
        <v>0.000157594012719823</v>
      </c>
      <c r="L408" s="2" t="str">
        <f aca="false">IF(K408="","",IF(ABS(K408)&gt;0.05,"CHECK","OK"))</f>
        <v>OK</v>
      </c>
    </row>
    <row r="409" customFormat="false" ht="15" hidden="false" customHeight="false" outlineLevel="0" collapsed="false">
      <c r="A409" s="2" t="s">
        <v>40</v>
      </c>
      <c r="B409" s="2" t="n">
        <v>1988</v>
      </c>
      <c r="C409" s="2" t="s">
        <v>82</v>
      </c>
      <c r="D409" s="3" t="n">
        <v>101553</v>
      </c>
      <c r="E409" s="3" t="n">
        <v>58800</v>
      </c>
      <c r="F409" s="2" t="s">
        <v>14</v>
      </c>
      <c r="G409" s="3" t="n">
        <v>579</v>
      </c>
      <c r="H409" s="2" t="s">
        <v>15</v>
      </c>
      <c r="I409" s="2" t="n">
        <v>1000</v>
      </c>
      <c r="J409" s="4" t="n">
        <f aca="false">IFERROR(E409*I409/D409,"")</f>
        <v>579.008005671915</v>
      </c>
      <c r="K409" s="5" t="n">
        <f aca="false">IFERROR((J409-G409)/G409,"")</f>
        <v>1.38267217878361E-005</v>
      </c>
      <c r="L409" s="2" t="str">
        <f aca="false">IF(K409="","",IF(ABS(K409)&gt;0.05,"CHECK","OK"))</f>
        <v>OK</v>
      </c>
    </row>
    <row r="410" customFormat="false" ht="15" hidden="false" customHeight="false" outlineLevel="0" collapsed="false">
      <c r="A410" s="2" t="s">
        <v>41</v>
      </c>
      <c r="B410" s="2" t="n">
        <v>1989</v>
      </c>
      <c r="C410" s="2" t="s">
        <v>81</v>
      </c>
      <c r="D410" s="3" t="n">
        <v>3202769</v>
      </c>
      <c r="E410" s="3" t="n">
        <v>7582990</v>
      </c>
      <c r="F410" s="2" t="s">
        <v>14</v>
      </c>
      <c r="G410" s="3" t="n">
        <v>2368</v>
      </c>
      <c r="H410" s="2" t="s">
        <v>15</v>
      </c>
      <c r="I410" s="2" t="n">
        <v>1000</v>
      </c>
      <c r="J410" s="4" t="n">
        <f aca="false">IFERROR(E410*I410/D410,"")</f>
        <v>2367.63563029366</v>
      </c>
      <c r="K410" s="5" t="n">
        <f aca="false">IFERROR((J410-G410)/G410,"")</f>
        <v>-0.000153872342203756</v>
      </c>
      <c r="L410" s="2" t="str">
        <f aca="false">IF(K410="","",IF(ABS(K410)&gt;0.05,"CHECK","OK"))</f>
        <v>OK</v>
      </c>
    </row>
    <row r="411" customFormat="false" ht="15" hidden="false" customHeight="false" outlineLevel="0" collapsed="false">
      <c r="A411" s="2" t="s">
        <v>41</v>
      </c>
      <c r="B411" s="2" t="n">
        <v>1989</v>
      </c>
      <c r="C411" s="2" t="s">
        <v>82</v>
      </c>
      <c r="D411" s="3" t="n">
        <v>125028</v>
      </c>
      <c r="E411" s="3" t="n">
        <v>74850</v>
      </c>
      <c r="F411" s="2" t="s">
        <v>14</v>
      </c>
      <c r="G411" s="3" t="n">
        <v>599</v>
      </c>
      <c r="H411" s="2" t="s">
        <v>15</v>
      </c>
      <c r="I411" s="2" t="n">
        <v>1000</v>
      </c>
      <c r="J411" s="4" t="n">
        <f aca="false">IFERROR(E411*I411/D411,"")</f>
        <v>598.66589883866</v>
      </c>
      <c r="K411" s="5" t="n">
        <f aca="false">IFERROR((J411-G411)/G411,"")</f>
        <v>-0.000557764877028122</v>
      </c>
      <c r="L411" s="2" t="str">
        <f aca="false">IF(K411="","",IF(ABS(K411)&gt;0.05,"CHECK","OK"))</f>
        <v>OK</v>
      </c>
    </row>
    <row r="412" customFormat="false" ht="15" hidden="false" customHeight="false" outlineLevel="0" collapsed="false">
      <c r="A412" s="2" t="s">
        <v>42</v>
      </c>
      <c r="B412" s="2" t="n">
        <v>1990</v>
      </c>
      <c r="C412" s="2" t="s">
        <v>81</v>
      </c>
      <c r="D412" s="3" t="n">
        <v>3038122</v>
      </c>
      <c r="E412" s="3" t="n">
        <v>7135710</v>
      </c>
      <c r="F412" s="2" t="s">
        <v>14</v>
      </c>
      <c r="G412" s="3" t="n">
        <v>2349</v>
      </c>
      <c r="H412" s="2" t="s">
        <v>15</v>
      </c>
      <c r="I412" s="2" t="n">
        <v>1000</v>
      </c>
      <c r="J412" s="4" t="n">
        <f aca="false">IFERROR(E412*I412/D412,"")</f>
        <v>2348.7239814596</v>
      </c>
      <c r="K412" s="5" t="n">
        <f aca="false">IFERROR((J412-G412)/G412,"")</f>
        <v>-0.000117504700042935</v>
      </c>
      <c r="L412" s="2" t="str">
        <f aca="false">IF(K412="","",IF(ABS(K412)&gt;0.05,"CHECK","OK"))</f>
        <v>OK</v>
      </c>
    </row>
    <row r="413" customFormat="false" ht="15" hidden="false" customHeight="false" outlineLevel="0" collapsed="false">
      <c r="A413" s="2" t="s">
        <v>42</v>
      </c>
      <c r="B413" s="2" t="n">
        <v>1990</v>
      </c>
      <c r="C413" s="2" t="s">
        <v>82</v>
      </c>
      <c r="D413" s="3" t="n">
        <v>111910</v>
      </c>
      <c r="E413" s="3" t="n">
        <v>68500</v>
      </c>
      <c r="F413" s="2" t="s">
        <v>14</v>
      </c>
      <c r="G413" s="3" t="n">
        <v>612</v>
      </c>
      <c r="H413" s="2" t="s">
        <v>15</v>
      </c>
      <c r="I413" s="2" t="n">
        <v>1000</v>
      </c>
      <c r="J413" s="4" t="n">
        <f aca="false">IFERROR(E413*I413/D413,"")</f>
        <v>612.099008131534</v>
      </c>
      <c r="K413" s="5" t="n">
        <f aca="false">IFERROR((J413-G413)/G413,"")</f>
        <v>0.000161777992702973</v>
      </c>
      <c r="L413" s="2" t="str">
        <f aca="false">IF(K413="","",IF(ABS(K413)&gt;0.05,"CHECK","OK"))</f>
        <v>OK</v>
      </c>
    </row>
    <row r="414" customFormat="false" ht="15" hidden="false" customHeight="false" outlineLevel="0" collapsed="false">
      <c r="A414" s="2" t="s">
        <v>43</v>
      </c>
      <c r="B414" s="2" t="n">
        <v>1991</v>
      </c>
      <c r="C414" s="2" t="s">
        <v>81</v>
      </c>
      <c r="D414" s="3" t="n">
        <v>3211646</v>
      </c>
      <c r="E414" s="3" t="n">
        <v>7913960</v>
      </c>
      <c r="F414" s="2" t="s">
        <v>14</v>
      </c>
      <c r="G414" s="3" t="n">
        <v>2464</v>
      </c>
      <c r="H414" s="2" t="s">
        <v>15</v>
      </c>
      <c r="I414" s="2" t="n">
        <v>1000</v>
      </c>
      <c r="J414" s="4" t="n">
        <f aca="false">IFERROR(E414*I414/D414,"")</f>
        <v>2464.1445539141</v>
      </c>
      <c r="K414" s="5" t="n">
        <f aca="false">IFERROR((J414-G414)/G414,"")</f>
        <v>5.86663612413357E-005</v>
      </c>
      <c r="L414" s="2" t="str">
        <f aca="false">IF(K414="","",IF(ABS(K414)&gt;0.05,"CHECK","OK"))</f>
        <v>OK</v>
      </c>
    </row>
    <row r="415" customFormat="false" ht="15" hidden="false" customHeight="false" outlineLevel="0" collapsed="false">
      <c r="A415" s="2" t="s">
        <v>43</v>
      </c>
      <c r="B415" s="2" t="n">
        <v>1991</v>
      </c>
      <c r="C415" s="2" t="s">
        <v>82</v>
      </c>
      <c r="D415" s="3" t="n">
        <v>105876</v>
      </c>
      <c r="E415" s="3" t="n">
        <v>57830</v>
      </c>
      <c r="F415" s="2" t="s">
        <v>14</v>
      </c>
      <c r="G415" s="3" t="n">
        <v>546</v>
      </c>
      <c r="H415" s="2" t="s">
        <v>15</v>
      </c>
      <c r="I415" s="2" t="n">
        <v>1000</v>
      </c>
      <c r="J415" s="4" t="n">
        <f aca="false">IFERROR(E415*I415/D415,"")</f>
        <v>546.204994521894</v>
      </c>
      <c r="K415" s="5" t="n">
        <f aca="false">IFERROR((J415-G415)/G415,"")</f>
        <v>0.000375447842295937</v>
      </c>
      <c r="L415" s="2" t="str">
        <f aca="false">IF(K415="","",IF(ABS(K415)&gt;0.05,"CHECK","OK"))</f>
        <v>OK</v>
      </c>
    </row>
    <row r="416" customFormat="false" ht="15" hidden="false" customHeight="false" outlineLevel="0" collapsed="false">
      <c r="A416" s="2" t="s">
        <v>44</v>
      </c>
      <c r="B416" s="2" t="n">
        <v>1992</v>
      </c>
      <c r="C416" s="2" t="s">
        <v>81</v>
      </c>
      <c r="D416" s="3" t="n">
        <v>3206042</v>
      </c>
      <c r="E416" s="3" t="n">
        <v>8015400</v>
      </c>
      <c r="F416" s="2" t="s">
        <v>14</v>
      </c>
      <c r="G416" s="3" t="n">
        <v>2500</v>
      </c>
      <c r="H416" s="2" t="s">
        <v>15</v>
      </c>
      <c r="I416" s="2" t="n">
        <v>1000</v>
      </c>
      <c r="J416" s="4" t="n">
        <f aca="false">IFERROR(E416*I416/D416,"")</f>
        <v>2500.09201376651</v>
      </c>
      <c r="K416" s="5" t="n">
        <f aca="false">IFERROR((J416-G416)/G416,"")</f>
        <v>3.68055066028319E-005</v>
      </c>
      <c r="L416" s="2" t="str">
        <f aca="false">IF(K416="","",IF(ABS(K416)&gt;0.05,"CHECK","OK"))</f>
        <v>OK</v>
      </c>
    </row>
    <row r="417" customFormat="false" ht="15" hidden="false" customHeight="false" outlineLevel="0" collapsed="false">
      <c r="A417" s="2" t="s">
        <v>44</v>
      </c>
      <c r="B417" s="2" t="n">
        <v>1992</v>
      </c>
      <c r="C417" s="2" t="s">
        <v>82</v>
      </c>
      <c r="D417" s="3" t="n">
        <v>106670</v>
      </c>
      <c r="E417" s="3" t="n">
        <v>63720</v>
      </c>
      <c r="F417" s="2" t="s">
        <v>14</v>
      </c>
      <c r="G417" s="3" t="n">
        <v>597</v>
      </c>
      <c r="H417" s="2" t="s">
        <v>15</v>
      </c>
      <c r="I417" s="2" t="n">
        <v>1000</v>
      </c>
      <c r="J417" s="4" t="n">
        <f aca="false">IFERROR(E417*I417/D417,"")</f>
        <v>597.356332614606</v>
      </c>
      <c r="K417" s="5" t="n">
        <f aca="false">IFERROR((J417-G417)/G417,"")</f>
        <v>0.000596872051265957</v>
      </c>
      <c r="L417" s="2" t="str">
        <f aca="false">IF(K417="","",IF(ABS(K417)&gt;0.05,"CHECK","OK"))</f>
        <v>OK</v>
      </c>
    </row>
    <row r="418" customFormat="false" ht="15" hidden="false" customHeight="false" outlineLevel="0" collapsed="false">
      <c r="A418" s="2" t="s">
        <v>45</v>
      </c>
      <c r="B418" s="2" t="n">
        <v>1993</v>
      </c>
      <c r="C418" s="2" t="s">
        <v>81</v>
      </c>
      <c r="D418" s="3" t="n">
        <v>3336924</v>
      </c>
      <c r="E418" s="3" t="n">
        <v>7981060</v>
      </c>
      <c r="F418" s="2" t="s">
        <v>14</v>
      </c>
      <c r="G418" s="3" t="n">
        <v>2392</v>
      </c>
      <c r="H418" s="2" t="s">
        <v>15</v>
      </c>
      <c r="I418" s="2" t="n">
        <v>1000</v>
      </c>
      <c r="J418" s="4" t="n">
        <f aca="false">IFERROR(E418*I418/D418,"")</f>
        <v>2391.74161593132</v>
      </c>
      <c r="K418" s="5" t="n">
        <f aca="false">IFERROR((J418-G418)/G418,"")</f>
        <v>-0.000108020095602489</v>
      </c>
      <c r="L418" s="2" t="str">
        <f aca="false">IF(K418="","",IF(ABS(K418)&gt;0.05,"CHECK","OK"))</f>
        <v>OK</v>
      </c>
    </row>
    <row r="419" customFormat="false" ht="15" hidden="false" customHeight="false" outlineLevel="0" collapsed="false">
      <c r="A419" s="2" t="s">
        <v>45</v>
      </c>
      <c r="B419" s="2" t="n">
        <v>1993</v>
      </c>
      <c r="C419" s="2" t="s">
        <v>82</v>
      </c>
      <c r="D419" s="3" t="n">
        <v>109540</v>
      </c>
      <c r="E419" s="3" t="n">
        <v>49540</v>
      </c>
      <c r="F419" s="2" t="s">
        <v>14</v>
      </c>
      <c r="G419" s="3" t="n">
        <v>452</v>
      </c>
      <c r="H419" s="2" t="s">
        <v>15</v>
      </c>
      <c r="I419" s="2" t="n">
        <v>1000</v>
      </c>
      <c r="J419" s="4" t="n">
        <f aca="false">IFERROR(E419*I419/D419,"")</f>
        <v>452.254884060617</v>
      </c>
      <c r="K419" s="5" t="n">
        <f aca="false">IFERROR((J419-G419)/G419,"")</f>
        <v>0.000563902788975982</v>
      </c>
      <c r="L419" s="2" t="str">
        <f aca="false">IF(K419="","",IF(ABS(K419)&gt;0.05,"CHECK","OK"))</f>
        <v>OK</v>
      </c>
    </row>
    <row r="420" customFormat="false" ht="15" hidden="false" customHeight="false" outlineLevel="0" collapsed="false">
      <c r="A420" s="2" t="s">
        <v>46</v>
      </c>
      <c r="B420" s="2" t="n">
        <v>1994</v>
      </c>
      <c r="C420" s="2" t="s">
        <v>81</v>
      </c>
      <c r="D420" s="3" t="n">
        <v>3158393</v>
      </c>
      <c r="E420" s="3" t="n">
        <v>8740570</v>
      </c>
      <c r="F420" s="2" t="s">
        <v>14</v>
      </c>
      <c r="G420" s="3" t="n">
        <v>2767</v>
      </c>
      <c r="H420" s="2" t="s">
        <v>15</v>
      </c>
      <c r="I420" s="2" t="n">
        <v>1000</v>
      </c>
      <c r="J420" s="4" t="n">
        <f aca="false">IFERROR(E420*I420/D420,"")</f>
        <v>2767.41051541084</v>
      </c>
      <c r="K420" s="5" t="n">
        <f aca="false">IFERROR((J420-G420)/G420,"")</f>
        <v>0.000148361189318159</v>
      </c>
      <c r="L420" s="2" t="str">
        <f aca="false">IF(K420="","",IF(ABS(K420)&gt;0.05,"CHECK","OK"))</f>
        <v>OK</v>
      </c>
    </row>
    <row r="421" customFormat="false" ht="15" hidden="false" customHeight="false" outlineLevel="0" collapsed="false">
      <c r="A421" s="2" t="s">
        <v>46</v>
      </c>
      <c r="B421" s="2" t="n">
        <v>1994</v>
      </c>
      <c r="C421" s="2" t="s">
        <v>82</v>
      </c>
      <c r="D421" s="3" t="n">
        <v>94255</v>
      </c>
      <c r="E421" s="3" t="n">
        <v>77330</v>
      </c>
      <c r="F421" s="2" t="s">
        <v>14</v>
      </c>
      <c r="G421" s="3" t="n">
        <v>820</v>
      </c>
      <c r="H421" s="2" t="s">
        <v>15</v>
      </c>
      <c r="I421" s="2" t="n">
        <v>1000</v>
      </c>
      <c r="J421" s="4" t="n">
        <f aca="false">IFERROR(E421*I421/D421,"")</f>
        <v>820.433929234523</v>
      </c>
      <c r="K421" s="5" t="n">
        <f aca="false">IFERROR((J421-G421)/G421,"")</f>
        <v>0.000529181993321173</v>
      </c>
      <c r="L421" s="2" t="str">
        <f aca="false">IF(K421="","",IF(ABS(K421)&gt;0.05,"CHECK","OK"))</f>
        <v>OK</v>
      </c>
    </row>
    <row r="422" customFormat="false" ht="15" hidden="false" customHeight="false" outlineLevel="0" collapsed="false">
      <c r="A422" s="2" t="s">
        <v>47</v>
      </c>
      <c r="B422" s="2" t="n">
        <v>1995</v>
      </c>
      <c r="C422" s="2" t="s">
        <v>81</v>
      </c>
      <c r="D422" s="3" t="n">
        <v>2761760</v>
      </c>
      <c r="E422" s="3" t="n">
        <v>6172220</v>
      </c>
      <c r="F422" s="2" t="s">
        <v>14</v>
      </c>
      <c r="G422" s="3" t="n">
        <v>2235</v>
      </c>
      <c r="H422" s="2" t="s">
        <v>15</v>
      </c>
      <c r="I422" s="2" t="n">
        <v>1000</v>
      </c>
      <c r="J422" s="4" t="n">
        <f aca="false">IFERROR(E422*I422/D422,"")</f>
        <v>2234.88644922079</v>
      </c>
      <c r="K422" s="5" t="n">
        <f aca="false">IFERROR((J422-G422)/G422,"")</f>
        <v>-5.08057177687945E-005</v>
      </c>
      <c r="L422" s="2" t="str">
        <f aca="false">IF(K422="","",IF(ABS(K422)&gt;0.05,"CHECK","OK"))</f>
        <v>OK</v>
      </c>
    </row>
    <row r="423" customFormat="false" ht="15" hidden="false" customHeight="false" outlineLevel="0" collapsed="false">
      <c r="A423" s="2" t="s">
        <v>47</v>
      </c>
      <c r="B423" s="2" t="n">
        <v>1995</v>
      </c>
      <c r="C423" s="2" t="s">
        <v>82</v>
      </c>
      <c r="D423" s="3" t="n">
        <v>84678</v>
      </c>
      <c r="E423" s="3" t="n">
        <v>62130</v>
      </c>
      <c r="F423" s="2" t="s">
        <v>14</v>
      </c>
      <c r="G423" s="3" t="n">
        <v>734</v>
      </c>
      <c r="H423" s="2" t="s">
        <v>15</v>
      </c>
      <c r="I423" s="2" t="n">
        <v>1000</v>
      </c>
      <c r="J423" s="4" t="n">
        <f aca="false">IFERROR(E423*I423/D423,"")</f>
        <v>733.720683058173</v>
      </c>
      <c r="K423" s="5" t="n">
        <f aca="false">IFERROR((J423-G423)/G423,"")</f>
        <v>-0.000380540792679379</v>
      </c>
      <c r="L423" s="2" t="str">
        <f aca="false">IF(K423="","",IF(ABS(K423)&gt;0.05,"CHECK","OK"))</f>
        <v>OK</v>
      </c>
    </row>
    <row r="424" customFormat="false" ht="15" hidden="false" customHeight="false" outlineLevel="0" collapsed="false">
      <c r="A424" s="2" t="s">
        <v>48</v>
      </c>
      <c r="B424" s="2" t="n">
        <v>1996</v>
      </c>
      <c r="C424" s="2" t="s">
        <v>81</v>
      </c>
      <c r="D424" s="3" t="n">
        <v>2976685</v>
      </c>
      <c r="E424" s="3" t="n">
        <v>6697260</v>
      </c>
      <c r="F424" s="2" t="s">
        <v>14</v>
      </c>
      <c r="G424" s="3" t="n">
        <v>2250</v>
      </c>
      <c r="H424" s="2" t="s">
        <v>15</v>
      </c>
      <c r="I424" s="2" t="n">
        <v>1000</v>
      </c>
      <c r="J424" s="4" t="n">
        <f aca="false">IFERROR(E424*I424/D424,"")</f>
        <v>2249.90551569951</v>
      </c>
      <c r="K424" s="5" t="n">
        <f aca="false">IFERROR((J424-G424)/G424,"")</f>
        <v>-4.19930224393789E-005</v>
      </c>
      <c r="L424" s="2" t="str">
        <f aca="false">IF(K424="","",IF(ABS(K424)&gt;0.05,"CHECK","OK"))</f>
        <v>OK</v>
      </c>
    </row>
    <row r="425" customFormat="false" ht="15" hidden="false" customHeight="false" outlineLevel="0" collapsed="false">
      <c r="A425" s="2" t="s">
        <v>48</v>
      </c>
      <c r="B425" s="2" t="n">
        <v>1996</v>
      </c>
      <c r="C425" s="2" t="s">
        <v>82</v>
      </c>
      <c r="D425" s="3" t="n">
        <v>82047</v>
      </c>
      <c r="E425" s="3" t="n">
        <v>57700</v>
      </c>
      <c r="F425" s="2" t="s">
        <v>14</v>
      </c>
      <c r="G425" s="3" t="n">
        <v>703</v>
      </c>
      <c r="H425" s="2" t="s">
        <v>15</v>
      </c>
      <c r="I425" s="2" t="n">
        <v>1000</v>
      </c>
      <c r="J425" s="4" t="n">
        <f aca="false">IFERROR(E425*I425/D425,"")</f>
        <v>703.255451143857</v>
      </c>
      <c r="K425" s="5" t="n">
        <f aca="false">IFERROR((J425-G425)/G425,"")</f>
        <v>0.000363372893110369</v>
      </c>
      <c r="L425" s="2" t="str">
        <f aca="false">IF(K425="","",IF(ABS(K425)&gt;0.05,"CHECK","OK"))</f>
        <v>OK</v>
      </c>
    </row>
    <row r="426" customFormat="false" ht="15" hidden="false" customHeight="false" outlineLevel="0" collapsed="false">
      <c r="A426" s="2" t="s">
        <v>49</v>
      </c>
      <c r="B426" s="2" t="n">
        <v>1997</v>
      </c>
      <c r="C426" s="2" t="s">
        <v>81</v>
      </c>
      <c r="D426" s="3" t="n">
        <v>3050649</v>
      </c>
      <c r="E426" s="3" t="n">
        <v>7859530</v>
      </c>
      <c r="F426" s="2" t="s">
        <v>14</v>
      </c>
      <c r="G426" s="3" t="n">
        <v>2576</v>
      </c>
      <c r="H426" s="2" t="s">
        <v>15</v>
      </c>
      <c r="I426" s="2" t="n">
        <v>1000</v>
      </c>
      <c r="J426" s="4" t="n">
        <f aca="false">IFERROR(E426*I426/D426,"")</f>
        <v>2576.34686914162</v>
      </c>
      <c r="K426" s="5" t="n">
        <f aca="false">IFERROR((J426-G426)/G426,"")</f>
        <v>0.000134654169881821</v>
      </c>
      <c r="L426" s="2" t="str">
        <f aca="false">IF(K426="","",IF(ABS(K426)&gt;0.05,"CHECK","OK"))</f>
        <v>OK</v>
      </c>
    </row>
    <row r="427" customFormat="false" ht="15" hidden="false" customHeight="false" outlineLevel="0" collapsed="false">
      <c r="A427" s="2" t="s">
        <v>49</v>
      </c>
      <c r="B427" s="2" t="n">
        <v>1997</v>
      </c>
      <c r="C427" s="2" t="s">
        <v>82</v>
      </c>
      <c r="D427" s="3" t="n">
        <v>70356</v>
      </c>
      <c r="E427" s="3" t="n">
        <v>35520</v>
      </c>
      <c r="F427" s="2" t="s">
        <v>14</v>
      </c>
      <c r="G427" s="3" t="n">
        <v>505</v>
      </c>
      <c r="H427" s="2" t="s">
        <v>15</v>
      </c>
      <c r="I427" s="2" t="n">
        <v>1000</v>
      </c>
      <c r="J427" s="4" t="n">
        <f aca="false">IFERROR(E427*I427/D427,"")</f>
        <v>504.860992665871</v>
      </c>
      <c r="K427" s="5" t="n">
        <f aca="false">IFERROR((J427-G427)/G427,"")</f>
        <v>-0.000275262047780798</v>
      </c>
      <c r="L427" s="2" t="str">
        <f aca="false">IF(K427="","",IF(ABS(K427)&gt;0.05,"CHECK","OK"))</f>
        <v>OK</v>
      </c>
    </row>
    <row r="428" customFormat="false" ht="15" hidden="false" customHeight="false" outlineLevel="0" collapsed="false">
      <c r="A428" s="2" t="s">
        <v>50</v>
      </c>
      <c r="B428" s="2" t="n">
        <v>1998</v>
      </c>
      <c r="C428" s="2" t="s">
        <v>81</v>
      </c>
      <c r="D428" s="3" t="n">
        <v>3039061</v>
      </c>
      <c r="E428" s="3" t="n">
        <v>9108180</v>
      </c>
      <c r="F428" s="2" t="s">
        <v>14</v>
      </c>
      <c r="G428" s="3" t="n">
        <v>2997</v>
      </c>
      <c r="H428" s="2" t="s">
        <v>15</v>
      </c>
      <c r="I428" s="2" t="n">
        <v>1000</v>
      </c>
      <c r="J428" s="4" t="n">
        <f aca="false">IFERROR(E428*I428/D428,"")</f>
        <v>2997.03757180261</v>
      </c>
      <c r="K428" s="5" t="n">
        <f aca="false">IFERROR((J428-G428)/G428,"")</f>
        <v>1.25364706727329E-005</v>
      </c>
      <c r="L428" s="2" t="str">
        <f aca="false">IF(K428="","",IF(ABS(K428)&gt;0.05,"CHECK","OK"))</f>
        <v>OK</v>
      </c>
    </row>
    <row r="429" customFormat="false" ht="15" hidden="false" customHeight="false" outlineLevel="0" collapsed="false">
      <c r="A429" s="2" t="s">
        <v>50</v>
      </c>
      <c r="B429" s="2" t="n">
        <v>1998</v>
      </c>
      <c r="C429" s="2" t="s">
        <v>82</v>
      </c>
      <c r="D429" s="3" t="n">
        <v>74252</v>
      </c>
      <c r="E429" s="3" t="n">
        <v>47800</v>
      </c>
      <c r="F429" s="2" t="s">
        <v>14</v>
      </c>
      <c r="G429" s="3" t="n">
        <v>644</v>
      </c>
      <c r="H429" s="2" t="s">
        <v>15</v>
      </c>
      <c r="I429" s="2" t="n">
        <v>1000</v>
      </c>
      <c r="J429" s="4" t="n">
        <f aca="false">IFERROR(E429*I429/D429,"")</f>
        <v>643.753703603943</v>
      </c>
      <c r="K429" s="5" t="n">
        <f aca="false">IFERROR((J429-G429)/G429,"")</f>
        <v>-0.000382447819963764</v>
      </c>
      <c r="L429" s="2" t="str">
        <f aca="false">IF(K429="","",IF(ABS(K429)&gt;0.05,"CHECK","OK"))</f>
        <v>OK</v>
      </c>
    </row>
    <row r="430" customFormat="false" ht="15" hidden="false" customHeight="false" outlineLevel="0" collapsed="false">
      <c r="A430" s="2" t="s">
        <v>51</v>
      </c>
      <c r="B430" s="2" t="n">
        <v>1999</v>
      </c>
      <c r="C430" s="2" t="s">
        <v>81</v>
      </c>
      <c r="D430" s="3" t="n">
        <v>2940222</v>
      </c>
      <c r="E430" s="3" t="n">
        <v>8551610</v>
      </c>
      <c r="F430" s="2" t="s">
        <v>14</v>
      </c>
      <c r="G430" s="3" t="n">
        <v>2908</v>
      </c>
      <c r="H430" s="2" t="s">
        <v>15</v>
      </c>
      <c r="I430" s="2" t="n">
        <v>1000</v>
      </c>
      <c r="J430" s="4" t="n">
        <f aca="false">IFERROR(E430*I430/D430,"")</f>
        <v>2908.49126358486</v>
      </c>
      <c r="K430" s="5" t="n">
        <f aca="false">IFERROR((J430-G430)/G430,"")</f>
        <v>0.000168935207998158</v>
      </c>
      <c r="L430" s="2" t="str">
        <f aca="false">IF(K430="","",IF(ABS(K430)&gt;0.05,"CHECK","OK"))</f>
        <v>OK</v>
      </c>
    </row>
    <row r="431" customFormat="false" ht="15" hidden="false" customHeight="false" outlineLevel="0" collapsed="false">
      <c r="A431" s="2" t="s">
        <v>51</v>
      </c>
      <c r="B431" s="2" t="n">
        <v>1999</v>
      </c>
      <c r="C431" s="2" t="s">
        <v>82</v>
      </c>
      <c r="D431" s="3" t="n">
        <v>64947</v>
      </c>
      <c r="E431" s="3" t="n">
        <v>43330</v>
      </c>
      <c r="F431" s="2" t="s">
        <v>14</v>
      </c>
      <c r="G431" s="3" t="n">
        <v>667</v>
      </c>
      <c r="H431" s="2" t="s">
        <v>15</v>
      </c>
      <c r="I431" s="2" t="n">
        <v>1000</v>
      </c>
      <c r="J431" s="4" t="n">
        <f aca="false">IFERROR(E431*I431/D431,"")</f>
        <v>667.159376106672</v>
      </c>
      <c r="K431" s="5" t="n">
        <f aca="false">IFERROR((J431-G431)/G431,"")</f>
        <v>0.000238944687663613</v>
      </c>
      <c r="L431" s="2" t="str">
        <f aca="false">IF(K431="","",IF(ABS(K431)&gt;0.05,"CHECK","OK"))</f>
        <v>OK</v>
      </c>
    </row>
    <row r="432" customFormat="false" ht="15" hidden="false" customHeight="false" outlineLevel="0" collapsed="false">
      <c r="A432" s="2" t="s">
        <v>52</v>
      </c>
      <c r="B432" s="2" t="n">
        <v>2000</v>
      </c>
      <c r="C432" s="2" t="s">
        <v>81</v>
      </c>
      <c r="D432" s="3" t="n">
        <v>2812857</v>
      </c>
      <c r="E432" s="3" t="n">
        <v>8304140</v>
      </c>
      <c r="F432" s="2" t="s">
        <v>14</v>
      </c>
      <c r="G432" s="3" t="n">
        <v>2952</v>
      </c>
      <c r="H432" s="2" t="s">
        <v>15</v>
      </c>
      <c r="I432" s="2" t="n">
        <v>1000</v>
      </c>
      <c r="J432" s="4" t="n">
        <f aca="false">IFERROR(E432*I432/D432,"")</f>
        <v>2952.20837746107</v>
      </c>
      <c r="K432" s="5" t="n">
        <f aca="false">IFERROR((J432-G432)/G432,"")</f>
        <v>7.05885708216593E-005</v>
      </c>
      <c r="L432" s="2" t="str">
        <f aca="false">IF(K432="","",IF(ABS(K432)&gt;0.05,"CHECK","OK"))</f>
        <v>OK</v>
      </c>
    </row>
    <row r="433" customFormat="false" ht="15" hidden="false" customHeight="false" outlineLevel="0" collapsed="false">
      <c r="A433" s="2" t="s">
        <v>52</v>
      </c>
      <c r="B433" s="2" t="n">
        <v>2000</v>
      </c>
      <c r="C433" s="2" t="s">
        <v>82</v>
      </c>
      <c r="D433" s="3" t="n">
        <v>63254</v>
      </c>
      <c r="E433" s="3" t="n">
        <v>45060</v>
      </c>
      <c r="F433" s="2" t="s">
        <v>14</v>
      </c>
      <c r="G433" s="3" t="n">
        <v>712</v>
      </c>
      <c r="H433" s="2" t="s">
        <v>15</v>
      </c>
      <c r="I433" s="2" t="n">
        <v>1000</v>
      </c>
      <c r="J433" s="4" t="n">
        <f aca="false">IFERROR(E433*I433/D433,"")</f>
        <v>712.366016378411</v>
      </c>
      <c r="K433" s="5" t="n">
        <f aca="false">IFERROR((J433-G433)/G433,"")</f>
        <v>0.000514067947206327</v>
      </c>
      <c r="L433" s="2" t="str">
        <f aca="false">IF(K433="","",IF(ABS(K433)&gt;0.05,"CHECK","OK"))</f>
        <v>OK</v>
      </c>
    </row>
    <row r="434" customFormat="false" ht="15" hidden="false" customHeight="false" outlineLevel="0" collapsed="false">
      <c r="A434" s="2" t="s">
        <v>53</v>
      </c>
      <c r="B434" s="2" t="n">
        <v>2001</v>
      </c>
      <c r="C434" s="2" t="s">
        <v>81</v>
      </c>
      <c r="D434" s="3" t="n">
        <v>2766169</v>
      </c>
      <c r="E434" s="3" t="n">
        <v>7418142</v>
      </c>
      <c r="F434" s="2" t="s">
        <v>14</v>
      </c>
      <c r="G434" s="3" t="n">
        <v>2682</v>
      </c>
      <c r="H434" s="2" t="s">
        <v>15</v>
      </c>
      <c r="I434" s="2" t="n">
        <v>1000</v>
      </c>
      <c r="J434" s="4" t="n">
        <f aca="false">IFERROR(E434*I434/D434,"")</f>
        <v>2681.73853441348</v>
      </c>
      <c r="K434" s="5" t="n">
        <f aca="false">IFERROR((J434-G434)/G434,"")</f>
        <v>-9.74890330053856E-005</v>
      </c>
      <c r="L434" s="2" t="str">
        <f aca="false">IF(K434="","",IF(ABS(K434)&gt;0.05,"CHECK","OK"))</f>
        <v>OK</v>
      </c>
    </row>
    <row r="435" customFormat="false" ht="15" hidden="false" customHeight="false" outlineLevel="0" collapsed="false">
      <c r="A435" s="2" t="s">
        <v>53</v>
      </c>
      <c r="B435" s="2" t="n">
        <v>2001</v>
      </c>
      <c r="C435" s="2" t="s">
        <v>82</v>
      </c>
      <c r="D435" s="3" t="n">
        <v>63613</v>
      </c>
      <c r="E435" s="3" t="n">
        <v>41420</v>
      </c>
      <c r="F435" s="2" t="s">
        <v>14</v>
      </c>
      <c r="G435" s="3" t="n">
        <v>651</v>
      </c>
      <c r="H435" s="2" t="s">
        <v>15</v>
      </c>
      <c r="I435" s="2" t="n">
        <v>1000</v>
      </c>
      <c r="J435" s="4" t="n">
        <f aca="false">IFERROR(E435*I435/D435,"")</f>
        <v>651.124770094163</v>
      </c>
      <c r="K435" s="5" t="n">
        <f aca="false">IFERROR((J435-G435)/G435,"")</f>
        <v>0.00019165913081902</v>
      </c>
      <c r="L435" s="2" t="str">
        <f aca="false">IF(K435="","",IF(ABS(K435)&gt;0.05,"CHECK","OK"))</f>
        <v>OK</v>
      </c>
    </row>
    <row r="436" customFormat="false" ht="15" hidden="false" customHeight="false" outlineLevel="0" collapsed="false">
      <c r="A436" s="2" t="s">
        <v>54</v>
      </c>
      <c r="B436" s="2" t="n">
        <v>2002</v>
      </c>
      <c r="C436" s="2" t="s">
        <v>81</v>
      </c>
      <c r="D436" s="3" t="n">
        <v>2228992</v>
      </c>
      <c r="E436" s="3" t="n">
        <v>4259878</v>
      </c>
      <c r="F436" s="2" t="s">
        <v>14</v>
      </c>
      <c r="G436" s="3" t="n">
        <v>1911</v>
      </c>
      <c r="H436" s="2" t="s">
        <v>15</v>
      </c>
      <c r="I436" s="2" t="n">
        <v>1000</v>
      </c>
      <c r="J436" s="4" t="n">
        <f aca="false">IFERROR(E436*I436/D436,"")</f>
        <v>1911.12305472608</v>
      </c>
      <c r="K436" s="5" t="n">
        <f aca="false">IFERROR((J436-G436)/G436,"")</f>
        <v>6.43928446271589E-005</v>
      </c>
      <c r="L436" s="2" t="str">
        <f aca="false">IF(K436="","",IF(ABS(K436)&gt;0.05,"CHECK","OK"))</f>
        <v>OK</v>
      </c>
    </row>
    <row r="437" customFormat="false" ht="15" hidden="false" customHeight="false" outlineLevel="0" collapsed="false">
      <c r="A437" s="2" t="s">
        <v>54</v>
      </c>
      <c r="B437" s="2" t="n">
        <v>2002</v>
      </c>
      <c r="C437" s="2" t="s">
        <v>82</v>
      </c>
      <c r="D437" s="3" t="n">
        <v>44127</v>
      </c>
      <c r="E437" s="3" t="n">
        <v>24067</v>
      </c>
      <c r="F437" s="2" t="s">
        <v>14</v>
      </c>
      <c r="G437" s="3" t="n">
        <v>545</v>
      </c>
      <c r="H437" s="2" t="s">
        <v>15</v>
      </c>
      <c r="I437" s="2" t="n">
        <v>1000</v>
      </c>
      <c r="J437" s="4" t="n">
        <f aca="false">IFERROR(E437*I437/D437,"")</f>
        <v>545.403041221928</v>
      </c>
      <c r="K437" s="5" t="n">
        <f aca="false">IFERROR((J437-G437)/G437,"")</f>
        <v>0.000739525177848902</v>
      </c>
      <c r="L437" s="2" t="str">
        <f aca="false">IF(K437="","",IF(ABS(K437)&gt;0.05,"CHECK","OK"))</f>
        <v>OK</v>
      </c>
    </row>
    <row r="438" customFormat="false" ht="15" hidden="false" customHeight="false" outlineLevel="0" collapsed="false">
      <c r="A438" s="2" t="s">
        <v>55</v>
      </c>
      <c r="B438" s="2" t="n">
        <v>2003</v>
      </c>
      <c r="C438" s="2" t="s">
        <v>81</v>
      </c>
      <c r="D438" s="3" t="n">
        <v>2300397</v>
      </c>
      <c r="E438" s="3" t="n">
        <v>4110967</v>
      </c>
      <c r="F438" s="2" t="s">
        <v>14</v>
      </c>
      <c r="G438" s="3" t="n">
        <v>1787</v>
      </c>
      <c r="H438" s="2" t="s">
        <v>15</v>
      </c>
      <c r="I438" s="2" t="n">
        <v>1000</v>
      </c>
      <c r="J438" s="4" t="n">
        <f aca="false">IFERROR(E438*I438/D438,"")</f>
        <v>1787.06849296013</v>
      </c>
      <c r="K438" s="5" t="n">
        <f aca="false">IFERROR((J438-G438)/G438,"")</f>
        <v>3.83284611797406E-005</v>
      </c>
      <c r="L438" s="2" t="str">
        <f aca="false">IF(K438="","",IF(ABS(K438)&gt;0.05,"CHECK","OK"))</f>
        <v>OK</v>
      </c>
    </row>
    <row r="439" customFormat="false" ht="15" hidden="false" customHeight="false" outlineLevel="0" collapsed="false">
      <c r="A439" s="2" t="s">
        <v>55</v>
      </c>
      <c r="B439" s="2" t="n">
        <v>2003</v>
      </c>
      <c r="C439" s="2" t="s">
        <v>82</v>
      </c>
      <c r="D439" s="3" t="n">
        <v>44914</v>
      </c>
      <c r="E439" s="3" t="n">
        <v>27475</v>
      </c>
      <c r="F439" s="2" t="s">
        <v>14</v>
      </c>
      <c r="G439" s="3" t="n">
        <v>612</v>
      </c>
      <c r="H439" s="2" t="s">
        <v>15</v>
      </c>
      <c r="I439" s="2" t="n">
        <v>1000</v>
      </c>
      <c r="J439" s="4" t="n">
        <f aca="false">IFERROR(E439*I439/D439,"")</f>
        <v>611.724629291535</v>
      </c>
      <c r="K439" s="5" t="n">
        <f aca="false">IFERROR((J439-G439)/G439,"")</f>
        <v>-0.000449952138014806</v>
      </c>
      <c r="L439" s="2" t="str">
        <f aca="false">IF(K439="","",IF(ABS(K439)&gt;0.05,"CHECK","OK"))</f>
        <v>OK</v>
      </c>
    </row>
    <row r="440" customFormat="false" ht="15" hidden="false" customHeight="false" outlineLevel="0" collapsed="false">
      <c r="A440" s="2" t="s">
        <v>56</v>
      </c>
      <c r="B440" s="2" t="n">
        <v>2004</v>
      </c>
      <c r="C440" s="2" t="s">
        <v>81</v>
      </c>
      <c r="D440" s="3" t="n">
        <v>2696555</v>
      </c>
      <c r="E440" s="3" t="n">
        <v>5929613</v>
      </c>
      <c r="F440" s="2" t="s">
        <v>14</v>
      </c>
      <c r="G440" s="3" t="n">
        <v>2199</v>
      </c>
      <c r="H440" s="2" t="s">
        <v>15</v>
      </c>
      <c r="I440" s="2" t="n">
        <v>1000</v>
      </c>
      <c r="J440" s="4" t="n">
        <f aca="false">IFERROR(E440*I440/D440,"")</f>
        <v>2198.95867134177</v>
      </c>
      <c r="K440" s="5" t="n">
        <f aca="false">IFERROR((J440-G440)/G440,"")</f>
        <v>-1.87942966041324E-005</v>
      </c>
      <c r="L440" s="2" t="str">
        <f aca="false">IF(K440="","",IF(ABS(K440)&gt;0.05,"CHECK","OK"))</f>
        <v>OK</v>
      </c>
    </row>
    <row r="441" customFormat="false" ht="15" hidden="false" customHeight="false" outlineLevel="0" collapsed="false">
      <c r="A441" s="2" t="s">
        <v>56</v>
      </c>
      <c r="B441" s="2" t="n">
        <v>2004</v>
      </c>
      <c r="C441" s="2" t="s">
        <v>82</v>
      </c>
      <c r="D441" s="3" t="n">
        <v>43416</v>
      </c>
      <c r="E441" s="3" t="n">
        <v>28979</v>
      </c>
      <c r="F441" s="2" t="s">
        <v>14</v>
      </c>
      <c r="G441" s="3" t="n">
        <v>667</v>
      </c>
      <c r="H441" s="2" t="s">
        <v>15</v>
      </c>
      <c r="I441" s="2" t="n">
        <v>1000</v>
      </c>
      <c r="J441" s="4" t="n">
        <f aca="false">IFERROR(E441*I441/D441,"")</f>
        <v>667.472821079786</v>
      </c>
      <c r="K441" s="5" t="n">
        <f aca="false">IFERROR((J441-G441)/G441,"")</f>
        <v>0.000708877181088884</v>
      </c>
      <c r="L441" s="2" t="str">
        <f aca="false">IF(K441="","",IF(ABS(K441)&gt;0.05,"CHECK","OK"))</f>
        <v>OK</v>
      </c>
    </row>
    <row r="442" customFormat="false" ht="15" hidden="false" customHeight="false" outlineLevel="0" collapsed="false">
      <c r="A442" s="2" t="s">
        <v>57</v>
      </c>
      <c r="B442" s="2" t="n">
        <v>2005</v>
      </c>
      <c r="C442" s="2" t="s">
        <v>81</v>
      </c>
      <c r="D442" s="3" t="n">
        <v>2791400</v>
      </c>
      <c r="E442" s="3" t="n">
        <v>5939142</v>
      </c>
      <c r="F442" s="2" t="s">
        <v>14</v>
      </c>
      <c r="G442" s="3" t="n">
        <v>2128</v>
      </c>
      <c r="H442" s="2" t="s">
        <v>15</v>
      </c>
      <c r="I442" s="2" t="n">
        <v>1000</v>
      </c>
      <c r="J442" s="4" t="n">
        <f aca="false">IFERROR(E442*I442/D442,"")</f>
        <v>2127.65708963244</v>
      </c>
      <c r="K442" s="5" t="n">
        <f aca="false">IFERROR((J442-G442)/G442,"")</f>
        <v>-0.000161142090017659</v>
      </c>
      <c r="L442" s="2" t="str">
        <f aca="false">IF(K442="","",IF(ABS(K442)&gt;0.05,"CHECK","OK"))</f>
        <v>OK</v>
      </c>
    </row>
    <row r="443" customFormat="false" ht="15" hidden="false" customHeight="false" outlineLevel="0" collapsed="false">
      <c r="A443" s="2" t="s">
        <v>57</v>
      </c>
      <c r="B443" s="2" t="n">
        <v>2005</v>
      </c>
      <c r="C443" s="2" t="s">
        <v>82</v>
      </c>
      <c r="D443" s="3" t="n">
        <v>37769</v>
      </c>
      <c r="E443" s="3" t="n">
        <v>20400</v>
      </c>
      <c r="F443" s="2" t="s">
        <v>14</v>
      </c>
      <c r="G443" s="3" t="n">
        <v>540</v>
      </c>
      <c r="H443" s="2" t="s">
        <v>15</v>
      </c>
      <c r="I443" s="2" t="n">
        <v>1000</v>
      </c>
      <c r="J443" s="4" t="n">
        <f aca="false">IFERROR(E443*I443/D443,"")</f>
        <v>540.125499748471</v>
      </c>
      <c r="K443" s="5" t="n">
        <f aca="false">IFERROR((J443-G443)/G443,"")</f>
        <v>0.000232406941612832</v>
      </c>
      <c r="L443" s="2" t="str">
        <f aca="false">IF(K443="","",IF(ABS(K443)&gt;0.05,"CHECK","OK"))</f>
        <v>OK</v>
      </c>
    </row>
    <row r="444" customFormat="false" ht="15" hidden="false" customHeight="false" outlineLevel="0" collapsed="false">
      <c r="A444" s="2" t="s">
        <v>58</v>
      </c>
      <c r="B444" s="2" t="n">
        <v>2006</v>
      </c>
      <c r="C444" s="2" t="s">
        <v>81</v>
      </c>
      <c r="D444" s="3" t="n">
        <v>2629611</v>
      </c>
      <c r="E444" s="3" t="n">
        <v>7972250</v>
      </c>
      <c r="F444" s="2" t="s">
        <v>14</v>
      </c>
      <c r="G444" s="3" t="n">
        <v>3032</v>
      </c>
      <c r="H444" s="2" t="s">
        <v>15</v>
      </c>
      <c r="I444" s="2" t="n">
        <v>1000</v>
      </c>
      <c r="J444" s="4" t="n">
        <f aca="false">IFERROR(E444*I444/D444,"")</f>
        <v>3031.7221824825</v>
      </c>
      <c r="K444" s="5" t="n">
        <f aca="false">IFERROR((J444-G444)/G444,"")</f>
        <v>-9.16284688310703E-005</v>
      </c>
      <c r="L444" s="2" t="str">
        <f aca="false">IF(K444="","",IF(ABS(K444)&gt;0.05,"CHECK","OK"))</f>
        <v>OK</v>
      </c>
    </row>
    <row r="445" customFormat="false" ht="15" hidden="false" customHeight="false" outlineLevel="0" collapsed="false">
      <c r="A445" s="2" t="s">
        <v>58</v>
      </c>
      <c r="B445" s="2" t="n">
        <v>2006</v>
      </c>
      <c r="C445" s="2" t="s">
        <v>82</v>
      </c>
      <c r="D445" s="3" t="n">
        <v>29127</v>
      </c>
      <c r="E445" s="3" t="n">
        <v>21334</v>
      </c>
      <c r="F445" s="2" t="s">
        <v>14</v>
      </c>
      <c r="G445" s="3" t="n">
        <v>732</v>
      </c>
      <c r="H445" s="2" t="s">
        <v>15</v>
      </c>
      <c r="I445" s="2" t="n">
        <v>1000</v>
      </c>
      <c r="J445" s="4" t="n">
        <f aca="false">IFERROR(E445*I445/D445,"")</f>
        <v>732.447557249288</v>
      </c>
      <c r="K445" s="5" t="n">
        <f aca="false">IFERROR((J445-G445)/G445,"")</f>
        <v>0.000611417007223456</v>
      </c>
      <c r="L445" s="2" t="str">
        <f aca="false">IF(K445="","",IF(ABS(K445)&gt;0.05,"CHECK","OK"))</f>
        <v>OK</v>
      </c>
    </row>
    <row r="446" customFormat="false" ht="15" hidden="false" customHeight="false" outlineLevel="0" collapsed="false">
      <c r="A446" s="2" t="s">
        <v>59</v>
      </c>
      <c r="B446" s="2" t="n">
        <v>2007</v>
      </c>
      <c r="C446" s="2" t="s">
        <v>81</v>
      </c>
      <c r="D446" s="3" t="n">
        <v>2487987</v>
      </c>
      <c r="E446" s="3" t="n">
        <v>6396715</v>
      </c>
      <c r="F446" s="2" t="s">
        <v>14</v>
      </c>
      <c r="G446" s="3" t="n">
        <v>2571</v>
      </c>
      <c r="H446" s="2" t="s">
        <v>15</v>
      </c>
      <c r="I446" s="2" t="n">
        <v>1000</v>
      </c>
      <c r="J446" s="4" t="n">
        <f aca="false">IFERROR(E446*I446/D446,"")</f>
        <v>2571.04036315302</v>
      </c>
      <c r="K446" s="5" t="n">
        <f aca="false">IFERROR((J446-G446)/G446,"")</f>
        <v>1.5699398297553E-005</v>
      </c>
      <c r="L446" s="2" t="str">
        <f aca="false">IF(K446="","",IF(ABS(K446)&gt;0.05,"CHECK","OK"))</f>
        <v>OK</v>
      </c>
    </row>
    <row r="447" customFormat="false" ht="15" hidden="false" customHeight="false" outlineLevel="0" collapsed="false">
      <c r="A447" s="2" t="s">
        <v>59</v>
      </c>
      <c r="B447" s="2" t="n">
        <v>2007</v>
      </c>
      <c r="C447" s="2" t="s">
        <v>82</v>
      </c>
      <c r="D447" s="3" t="n">
        <v>30057</v>
      </c>
      <c r="E447" s="3" t="n">
        <v>21077</v>
      </c>
      <c r="F447" s="2" t="s">
        <v>14</v>
      </c>
      <c r="G447" s="3" t="n">
        <v>701</v>
      </c>
      <c r="H447" s="2" t="s">
        <v>15</v>
      </c>
      <c r="I447" s="2" t="n">
        <v>1000</v>
      </c>
      <c r="J447" s="4" t="n">
        <f aca="false">IFERROR(E447*I447/D447,"")</f>
        <v>701.234321455901</v>
      </c>
      <c r="K447" s="5" t="n">
        <f aca="false">IFERROR((J447-G447)/G447,"")</f>
        <v>0.000334267412126247</v>
      </c>
      <c r="L447" s="2" t="str">
        <f aca="false">IF(K447="","",IF(ABS(K447)&gt;0.05,"CHECK","OK"))</f>
        <v>OK</v>
      </c>
    </row>
    <row r="448" customFormat="false" ht="15" hidden="false" customHeight="false" outlineLevel="0" collapsed="false">
      <c r="A448" s="2" t="s">
        <v>60</v>
      </c>
      <c r="B448" s="2" t="n">
        <v>2008</v>
      </c>
      <c r="C448" s="2" t="s">
        <v>81</v>
      </c>
      <c r="D448" s="3" t="n">
        <v>2655525</v>
      </c>
      <c r="E448" s="3" t="n">
        <v>6934365</v>
      </c>
      <c r="F448" s="2" t="s">
        <v>14</v>
      </c>
      <c r="G448" s="3" t="n">
        <v>2611</v>
      </c>
      <c r="H448" s="2" t="s">
        <v>15</v>
      </c>
      <c r="I448" s="2" t="n">
        <v>1000</v>
      </c>
      <c r="J448" s="4" t="n">
        <f aca="false">IFERROR(E448*I448/D448,"")</f>
        <v>2611.29720111842</v>
      </c>
      <c r="K448" s="5" t="n">
        <f aca="false">IFERROR((J448-G448)/G448,"")</f>
        <v>0.000113826548610835</v>
      </c>
      <c r="L448" s="2" t="str">
        <f aca="false">IF(K448="","",IF(ABS(K448)&gt;0.05,"CHECK","OK"))</f>
        <v>OK</v>
      </c>
    </row>
    <row r="449" customFormat="false" ht="15" hidden="false" customHeight="false" outlineLevel="0" collapsed="false">
      <c r="A449" s="2" t="s">
        <v>60</v>
      </c>
      <c r="B449" s="2" t="n">
        <v>2008</v>
      </c>
      <c r="C449" s="2" t="s">
        <v>82</v>
      </c>
      <c r="D449" s="3" t="n">
        <v>27483</v>
      </c>
      <c r="E449" s="3" t="n">
        <v>16703</v>
      </c>
      <c r="F449" s="2" t="s">
        <v>14</v>
      </c>
      <c r="G449" s="3" t="n">
        <v>608</v>
      </c>
      <c r="H449" s="2" t="s">
        <v>15</v>
      </c>
      <c r="I449" s="2" t="n">
        <v>1000</v>
      </c>
      <c r="J449" s="4" t="n">
        <f aca="false">IFERROR(E449*I449/D449,"")</f>
        <v>607.757522832296</v>
      </c>
      <c r="K449" s="5" t="n">
        <f aca="false">IFERROR((J449-G449)/G449,"")</f>
        <v>-0.000398811131091561</v>
      </c>
      <c r="L449" s="2" t="str">
        <f aca="false">IF(K449="","",IF(ABS(K449)&gt;0.05,"CHECK","OK"))</f>
        <v>OK</v>
      </c>
    </row>
    <row r="450" customFormat="false" ht="15" hidden="false" customHeight="false" outlineLevel="0" collapsed="false">
      <c r="A450" s="2" t="s">
        <v>61</v>
      </c>
      <c r="B450" s="2" t="n">
        <v>2009</v>
      </c>
      <c r="C450" s="2" t="s">
        <v>81</v>
      </c>
      <c r="D450" s="3" t="n">
        <v>2498305</v>
      </c>
      <c r="E450" s="3" t="n">
        <v>7300179</v>
      </c>
      <c r="F450" s="2" t="s">
        <v>14</v>
      </c>
      <c r="G450" s="3" t="n">
        <v>2922</v>
      </c>
      <c r="H450" s="2" t="s">
        <v>15</v>
      </c>
      <c r="I450" s="2" t="n">
        <v>1000</v>
      </c>
      <c r="J450" s="4" t="n">
        <f aca="false">IFERROR(E450*I450/D450,"")</f>
        <v>2922.0527517657</v>
      </c>
      <c r="K450" s="5" t="n">
        <f aca="false">IFERROR((J450-G450)/G450,"")</f>
        <v>1.80533079044967E-005</v>
      </c>
      <c r="L450" s="2" t="str">
        <f aca="false">IF(K450="","",IF(ABS(K450)&gt;0.05,"CHECK","OK"))</f>
        <v>OK</v>
      </c>
    </row>
    <row r="451" customFormat="false" ht="15" hidden="false" customHeight="false" outlineLevel="0" collapsed="false">
      <c r="A451" s="2" t="s">
        <v>61</v>
      </c>
      <c r="B451" s="2" t="n">
        <v>2009</v>
      </c>
      <c r="C451" s="2" t="s">
        <v>82</v>
      </c>
      <c r="D451" s="3" t="n">
        <v>26558</v>
      </c>
      <c r="E451" s="3" t="n">
        <v>20274</v>
      </c>
      <c r="F451" s="2" t="s">
        <v>14</v>
      </c>
      <c r="G451" s="3" t="n">
        <v>763</v>
      </c>
      <c r="H451" s="2" t="s">
        <v>15</v>
      </c>
      <c r="I451" s="2" t="n">
        <v>1000</v>
      </c>
      <c r="J451" s="4" t="n">
        <f aca="false">IFERROR(E451*I451/D451,"")</f>
        <v>763.385797123277</v>
      </c>
      <c r="K451" s="5" t="n">
        <f aca="false">IFERROR((J451-G451)/G451,"")</f>
        <v>0.000505631878476239</v>
      </c>
      <c r="L451" s="2" t="str">
        <f aca="false">IF(K451="","",IF(ABS(K451)&gt;0.05,"CHECK","OK"))</f>
        <v>OK</v>
      </c>
    </row>
    <row r="452" customFormat="false" ht="15" hidden="false" customHeight="false" outlineLevel="0" collapsed="false">
      <c r="A452" s="2" t="s">
        <v>62</v>
      </c>
      <c r="B452" s="2" t="n">
        <v>2010</v>
      </c>
      <c r="C452" s="2" t="s">
        <v>81</v>
      </c>
      <c r="D452" s="3" t="n">
        <v>2537040</v>
      </c>
      <c r="E452" s="3" t="n">
        <v>7348930</v>
      </c>
      <c r="F452" s="2" t="s">
        <v>14</v>
      </c>
      <c r="G452" s="3" t="n">
        <v>2897</v>
      </c>
      <c r="H452" s="2" t="s">
        <v>15</v>
      </c>
      <c r="I452" s="2" t="n">
        <v>1000</v>
      </c>
      <c r="J452" s="4" t="n">
        <f aca="false">IFERROR(E452*I452/D452,"")</f>
        <v>2896.65515719106</v>
      </c>
      <c r="K452" s="5" t="n">
        <f aca="false">IFERROR((J452-G452)/G452,"")</f>
        <v>-0.000119034452517348</v>
      </c>
      <c r="L452" s="2" t="str">
        <f aca="false">IF(K452="","",IF(ABS(K452)&gt;0.05,"CHECK","OK"))</f>
        <v>OK</v>
      </c>
    </row>
    <row r="453" customFormat="false" ht="15" hidden="false" customHeight="false" outlineLevel="0" collapsed="false">
      <c r="A453" s="2" t="s">
        <v>62</v>
      </c>
      <c r="B453" s="2" t="n">
        <v>2010</v>
      </c>
      <c r="C453" s="2" t="s">
        <v>82</v>
      </c>
      <c r="D453" s="3" t="n">
        <v>35751</v>
      </c>
      <c r="E453" s="3" t="n">
        <v>23671</v>
      </c>
      <c r="F453" s="2" t="s">
        <v>14</v>
      </c>
      <c r="G453" s="3" t="n">
        <v>662</v>
      </c>
      <c r="H453" s="2" t="s">
        <v>15</v>
      </c>
      <c r="I453" s="2" t="n">
        <v>1000</v>
      </c>
      <c r="J453" s="4" t="n">
        <f aca="false">IFERROR(E453*I453/D453,"")</f>
        <v>662.107353640458</v>
      </c>
      <c r="K453" s="5" t="n">
        <f aca="false">IFERROR((J453-G453)/G453,"")</f>
        <v>0.000162165620026634</v>
      </c>
      <c r="L453" s="2" t="str">
        <f aca="false">IF(K453="","",IF(ABS(K453)&gt;0.05,"CHECK","OK"))</f>
        <v>OK</v>
      </c>
    </row>
    <row r="454" customFormat="false" ht="15" hidden="false" customHeight="false" outlineLevel="0" collapsed="false">
      <c r="A454" s="2" t="s">
        <v>63</v>
      </c>
      <c r="B454" s="2" t="n">
        <v>2011</v>
      </c>
      <c r="C454" s="2" t="s">
        <v>81</v>
      </c>
      <c r="D454" s="3" t="n">
        <v>2541748</v>
      </c>
      <c r="E454" s="3" t="n">
        <v>9782497</v>
      </c>
      <c r="F454" s="2" t="s">
        <v>14</v>
      </c>
      <c r="G454" s="3" t="n">
        <v>3849</v>
      </c>
      <c r="H454" s="2" t="s">
        <v>15</v>
      </c>
      <c r="I454" s="2" t="n">
        <v>1000</v>
      </c>
      <c r="J454" s="4" t="n">
        <f aca="false">IFERROR(E454*I454/D454,"")</f>
        <v>3848.7281193887</v>
      </c>
      <c r="K454" s="5" t="n">
        <f aca="false">IFERROR((J454-G454)/G454,"")</f>
        <v>-7.06366877879263E-005</v>
      </c>
      <c r="L454" s="2" t="str">
        <f aca="false">IF(K454="","",IF(ABS(K454)&gt;0.05,"CHECK","OK"))</f>
        <v>OK</v>
      </c>
    </row>
    <row r="455" customFormat="false" ht="15" hidden="false" customHeight="false" outlineLevel="0" collapsed="false">
      <c r="A455" s="2" t="s">
        <v>63</v>
      </c>
      <c r="B455" s="2" t="n">
        <v>2011</v>
      </c>
      <c r="C455" s="2" t="s">
        <v>82</v>
      </c>
      <c r="D455" s="3" t="n">
        <v>35968</v>
      </c>
      <c r="E455" s="3" t="n">
        <v>31292</v>
      </c>
      <c r="F455" s="2" t="s">
        <v>14</v>
      </c>
      <c r="G455" s="3" t="n">
        <v>270</v>
      </c>
      <c r="H455" s="2" t="s">
        <v>15</v>
      </c>
      <c r="I455" s="2" t="n">
        <v>1000</v>
      </c>
      <c r="J455" s="4" t="n">
        <f aca="false">IFERROR(E455*I455/D455,"")</f>
        <v>869.995551601424</v>
      </c>
      <c r="K455" s="5" t="n">
        <f aca="false">IFERROR((J455-G455)/G455,"")</f>
        <v>2.22220574667194</v>
      </c>
      <c r="L455" s="2" t="str">
        <f aca="false">IF(K455="","",IF(ABS(K455)&gt;0.05,"CHECK","OK"))</f>
        <v>CHECK</v>
      </c>
    </row>
    <row r="456" customFormat="false" ht="15" hidden="false" customHeight="false" outlineLevel="0" collapsed="false">
      <c r="A456" s="2" t="s">
        <v>64</v>
      </c>
      <c r="B456" s="2" t="n">
        <v>2012</v>
      </c>
      <c r="C456" s="2" t="s">
        <v>81</v>
      </c>
      <c r="D456" s="3" t="n">
        <v>2134936</v>
      </c>
      <c r="E456" s="3" t="n">
        <v>5392862</v>
      </c>
      <c r="F456" s="2" t="s">
        <v>14</v>
      </c>
      <c r="G456" s="3" t="n">
        <v>2526</v>
      </c>
      <c r="H456" s="2" t="s">
        <v>15</v>
      </c>
      <c r="I456" s="2" t="n">
        <v>1000</v>
      </c>
      <c r="J456" s="4" t="n">
        <f aca="false">IFERROR(E456*I456/D456,"")</f>
        <v>2526.00640019186</v>
      </c>
      <c r="K456" s="5" t="n">
        <f aca="false">IFERROR((J456-G456)/G456,"")</f>
        <v>2.5337259920214E-006</v>
      </c>
      <c r="L456" s="2" t="str">
        <f aca="false">IF(K456="","",IF(ABS(K456)&gt;0.05,"CHECK","OK"))</f>
        <v>OK</v>
      </c>
    </row>
    <row r="457" customFormat="false" ht="15" hidden="false" customHeight="false" outlineLevel="0" collapsed="false">
      <c r="A457" s="2" t="s">
        <v>64</v>
      </c>
      <c r="B457" s="2" t="n">
        <v>2012</v>
      </c>
      <c r="C457" s="2" t="s">
        <v>82</v>
      </c>
      <c r="D457" s="3" t="n">
        <v>42065</v>
      </c>
      <c r="E457" s="3" t="n">
        <v>33105</v>
      </c>
      <c r="F457" s="2" t="s">
        <v>14</v>
      </c>
      <c r="G457" s="3" t="n">
        <v>787</v>
      </c>
      <c r="H457" s="2" t="s">
        <v>15</v>
      </c>
      <c r="I457" s="2" t="n">
        <v>1000</v>
      </c>
      <c r="J457" s="4" t="n">
        <f aca="false">IFERROR(E457*I457/D457,"")</f>
        <v>786.996315226435</v>
      </c>
      <c r="K457" s="5" t="n">
        <f aca="false">IFERROR((J457-G457)/G457,"")</f>
        <v>-4.68205027282631E-006</v>
      </c>
      <c r="L457" s="2" t="str">
        <f aca="false">IF(K457="","",IF(ABS(K457)&gt;0.05,"CHECK","OK"))</f>
        <v>OK</v>
      </c>
    </row>
    <row r="458" customFormat="false" ht="15" hidden="false" customHeight="false" outlineLevel="0" collapsed="false">
      <c r="A458" s="2" t="s">
        <v>65</v>
      </c>
      <c r="B458" s="2" t="n">
        <v>2013</v>
      </c>
      <c r="C458" s="2" t="s">
        <v>81</v>
      </c>
      <c r="D458" s="3" t="n">
        <v>2658817</v>
      </c>
      <c r="E458" s="3" t="n">
        <v>10388674</v>
      </c>
      <c r="F458" s="2" t="s">
        <v>14</v>
      </c>
      <c r="G458" s="3" t="n">
        <v>3907</v>
      </c>
      <c r="H458" s="2" t="s">
        <v>15</v>
      </c>
      <c r="I458" s="2" t="n">
        <v>1000</v>
      </c>
      <c r="J458" s="4" t="n">
        <f aca="false">IFERROR(E458*I458/D458,"")</f>
        <v>3907.25424126595</v>
      </c>
      <c r="K458" s="5" t="n">
        <f aca="false">IFERROR((J458-G458)/G458,"")</f>
        <v>6.50732700144223E-005</v>
      </c>
      <c r="L458" s="2" t="str">
        <f aca="false">IF(K458="","",IF(ABS(K458)&gt;0.05,"CHECK","OK"))</f>
        <v>OK</v>
      </c>
    </row>
    <row r="459" customFormat="false" ht="15" hidden="false" customHeight="false" outlineLevel="0" collapsed="false">
      <c r="A459" s="2" t="s">
        <v>65</v>
      </c>
      <c r="B459" s="2" t="n">
        <v>2013</v>
      </c>
      <c r="C459" s="2" t="s">
        <v>82</v>
      </c>
      <c r="D459" s="3" t="n">
        <v>59643</v>
      </c>
      <c r="E459" s="3" t="n">
        <v>57666</v>
      </c>
      <c r="F459" s="2" t="s">
        <v>14</v>
      </c>
      <c r="G459" s="3" t="n">
        <v>967</v>
      </c>
      <c r="H459" s="2" t="s">
        <v>15</v>
      </c>
      <c r="I459" s="2" t="n">
        <v>1000</v>
      </c>
      <c r="J459" s="4" t="n">
        <f aca="false">IFERROR(E459*I459/D459,"")</f>
        <v>966.852774005332</v>
      </c>
      <c r="K459" s="5" t="n">
        <f aca="false">IFERROR((J459-G459)/G459,"")</f>
        <v>-0.000152250253017836</v>
      </c>
      <c r="L459" s="2" t="str">
        <f aca="false">IF(K459="","",IF(ABS(K459)&gt;0.05,"CHECK","OK"))</f>
        <v>OK</v>
      </c>
    </row>
    <row r="460" customFormat="false" ht="15" hidden="false" customHeight="false" outlineLevel="0" collapsed="false">
      <c r="A460" s="2" t="s">
        <v>66</v>
      </c>
      <c r="B460" s="2" t="n">
        <v>2014</v>
      </c>
      <c r="C460" s="2" t="s">
        <v>81</v>
      </c>
      <c r="D460" s="3" t="n">
        <v>2721836</v>
      </c>
      <c r="E460" s="3" t="n">
        <v>12028249</v>
      </c>
      <c r="F460" s="2" t="s">
        <v>14</v>
      </c>
      <c r="G460" s="3" t="n">
        <v>4419</v>
      </c>
      <c r="H460" s="2" t="s">
        <v>15</v>
      </c>
      <c r="I460" s="2" t="n">
        <v>1000</v>
      </c>
      <c r="J460" s="4" t="n">
        <f aca="false">IFERROR(E460*I460/D460,"")</f>
        <v>4419.16742963206</v>
      </c>
      <c r="K460" s="5" t="n">
        <f aca="false">IFERROR((J460-G460)/G460,"")</f>
        <v>3.7888579329501E-005</v>
      </c>
      <c r="L460" s="2" t="str">
        <f aca="false">IF(K460="","",IF(ABS(K460)&gt;0.05,"CHECK","OK"))</f>
        <v>OK</v>
      </c>
    </row>
    <row r="461" customFormat="false" ht="15" hidden="false" customHeight="false" outlineLevel="0" collapsed="false">
      <c r="A461" s="2" t="s">
        <v>66</v>
      </c>
      <c r="B461" s="2" t="n">
        <v>2014</v>
      </c>
      <c r="C461" s="2" t="s">
        <v>82</v>
      </c>
      <c r="D461" s="3" t="n">
        <v>72389</v>
      </c>
      <c r="E461" s="3" t="n">
        <v>90950</v>
      </c>
      <c r="F461" s="2" t="s">
        <v>14</v>
      </c>
      <c r="G461" s="3" t="n">
        <v>1256</v>
      </c>
      <c r="H461" s="2" t="s">
        <v>15</v>
      </c>
      <c r="I461" s="2" t="n">
        <v>1000</v>
      </c>
      <c r="J461" s="4" t="n">
        <f aca="false">IFERROR(E461*I461/D461,"")</f>
        <v>1256.40636008233</v>
      </c>
      <c r="K461" s="5" t="n">
        <f aca="false">IFERROR((J461-G461)/G461,"")</f>
        <v>0.00032353509739878</v>
      </c>
      <c r="L461" s="2" t="str">
        <f aca="false">IF(K461="","",IF(ABS(K461)&gt;0.05,"CHECK","OK"))</f>
        <v>OK</v>
      </c>
    </row>
    <row r="462" customFormat="false" ht="15" hidden="false" customHeight="false" outlineLevel="0" collapsed="false">
      <c r="A462" s="2" t="s">
        <v>67</v>
      </c>
      <c r="B462" s="2" t="n">
        <v>2015</v>
      </c>
      <c r="C462" s="2" t="s">
        <v>81</v>
      </c>
      <c r="D462" s="3" t="n">
        <v>2867330</v>
      </c>
      <c r="E462" s="3" t="n">
        <v>10800046</v>
      </c>
      <c r="F462" s="2" t="s">
        <v>14</v>
      </c>
      <c r="G462" s="3" t="n">
        <v>3767</v>
      </c>
      <c r="H462" s="2" t="s">
        <v>15</v>
      </c>
      <c r="I462" s="2" t="n">
        <v>1000</v>
      </c>
      <c r="J462" s="4" t="n">
        <f aca="false">IFERROR(E462*I462/D462,"")</f>
        <v>3766.5863364175</v>
      </c>
      <c r="K462" s="5" t="n">
        <f aca="false">IFERROR((J462-G462)/G462,"")</f>
        <v>-0.000109812472125461</v>
      </c>
      <c r="L462" s="2" t="str">
        <f aca="false">IF(K462="","",IF(ABS(K462)&gt;0.05,"CHECK","OK"))</f>
        <v>OK</v>
      </c>
    </row>
    <row r="463" customFormat="false" ht="15" hidden="false" customHeight="false" outlineLevel="0" collapsed="false">
      <c r="A463" s="2" t="s">
        <v>67</v>
      </c>
      <c r="B463" s="2" t="n">
        <v>2015</v>
      </c>
      <c r="C463" s="2" t="s">
        <v>82</v>
      </c>
      <c r="D463" s="3" t="n">
        <v>59007</v>
      </c>
      <c r="E463" s="3" t="n">
        <v>59968</v>
      </c>
      <c r="F463" s="2" t="s">
        <v>14</v>
      </c>
      <c r="G463" s="3" t="n">
        <v>1016</v>
      </c>
      <c r="H463" s="2" t="s">
        <v>15</v>
      </c>
      <c r="I463" s="2" t="n">
        <v>1000</v>
      </c>
      <c r="J463" s="4" t="n">
        <f aca="false">IFERROR(E463*I463/D463,"")</f>
        <v>1016.28620333181</v>
      </c>
      <c r="K463" s="5" t="n">
        <f aca="false">IFERROR((J463-G463)/G463,"")</f>
        <v>0.000281696192724518</v>
      </c>
      <c r="L463" s="2" t="str">
        <f aca="false">IF(K463="","",IF(ABS(K463)&gt;0.05,"CHECK","OK"))</f>
        <v>OK</v>
      </c>
    </row>
    <row r="464" customFormat="false" ht="15" hidden="false" customHeight="false" outlineLevel="0" collapsed="false">
      <c r="A464" s="2" t="s">
        <v>68</v>
      </c>
      <c r="B464" s="2" t="n">
        <v>2016</v>
      </c>
      <c r="C464" s="2" t="s">
        <v>81</v>
      </c>
      <c r="D464" s="3" t="n">
        <v>2160865</v>
      </c>
      <c r="E464" s="3" t="n">
        <v>4899249</v>
      </c>
      <c r="F464" s="2" t="s">
        <v>14</v>
      </c>
      <c r="G464" s="3" t="n">
        <v>2267</v>
      </c>
      <c r="H464" s="2" t="s">
        <v>15</v>
      </c>
      <c r="I464" s="2" t="n">
        <v>1000</v>
      </c>
      <c r="J464" s="4" t="n">
        <f aca="false">IFERROR(E464*I464/D464,"")</f>
        <v>2267.26287852318</v>
      </c>
      <c r="K464" s="5" t="n">
        <f aca="false">IFERROR((J464-G464)/G464,"")</f>
        <v>0.00011595876629206</v>
      </c>
      <c r="L464" s="2" t="str">
        <f aca="false">IF(K464="","",IF(ABS(K464)&gt;0.05,"CHECK","OK"))</f>
        <v>OK</v>
      </c>
    </row>
    <row r="465" customFormat="false" ht="15" hidden="false" customHeight="false" outlineLevel="0" collapsed="false">
      <c r="A465" s="2" t="s">
        <v>68</v>
      </c>
      <c r="B465" s="2" t="n">
        <v>2016</v>
      </c>
      <c r="C465" s="2" t="s">
        <v>82</v>
      </c>
      <c r="D465" s="3" t="n">
        <v>56560</v>
      </c>
      <c r="E465" s="3" t="n">
        <v>37053</v>
      </c>
      <c r="F465" s="2" t="s">
        <v>14</v>
      </c>
      <c r="G465" s="3" t="n">
        <v>655</v>
      </c>
      <c r="H465" s="2" t="s">
        <v>15</v>
      </c>
      <c r="I465" s="2" t="n">
        <v>1000</v>
      </c>
      <c r="J465" s="4" t="n">
        <f aca="false">IFERROR(E465*I465/D465,"")</f>
        <v>655.109618104668</v>
      </c>
      <c r="K465" s="5" t="n">
        <f aca="false">IFERROR((J465-G465)/G465,"")</f>
        <v>0.000167355884988643</v>
      </c>
      <c r="L465" s="2" t="str">
        <f aca="false">IF(K465="","",IF(ABS(K465)&gt;0.05,"CHECK","OK"))</f>
        <v>OK</v>
      </c>
    </row>
    <row r="466" customFormat="false" ht="15" hidden="false" customHeight="false" outlineLevel="0" collapsed="false">
      <c r="A466" s="2" t="s">
        <v>69</v>
      </c>
      <c r="B466" s="2" t="n">
        <v>2017</v>
      </c>
      <c r="C466" s="2" t="s">
        <v>81</v>
      </c>
      <c r="D466" s="3" t="n">
        <v>2713903</v>
      </c>
      <c r="E466" s="3" t="n">
        <v>10156849</v>
      </c>
      <c r="F466" s="2" t="s">
        <v>14</v>
      </c>
      <c r="G466" s="3" t="n">
        <v>3743</v>
      </c>
      <c r="H466" s="2" t="s">
        <v>15</v>
      </c>
      <c r="I466" s="2" t="n">
        <v>1000</v>
      </c>
      <c r="J466" s="4" t="n">
        <f aca="false">IFERROR(E466*I466/D466,"")</f>
        <v>3742.52469598213</v>
      </c>
      <c r="K466" s="5" t="n">
        <f aca="false">IFERROR((J466-G466)/G466,"")</f>
        <v>-0.000126984776346946</v>
      </c>
      <c r="L466" s="2" t="str">
        <f aca="false">IF(K466="","",IF(ABS(K466)&gt;0.05,"CHECK","OK"))</f>
        <v>OK</v>
      </c>
    </row>
    <row r="467" customFormat="false" ht="15" hidden="false" customHeight="false" outlineLevel="0" collapsed="false">
      <c r="A467" s="2" t="s">
        <v>69</v>
      </c>
      <c r="B467" s="2" t="n">
        <v>2017</v>
      </c>
      <c r="C467" s="2" t="s">
        <v>82</v>
      </c>
      <c r="D467" s="3" t="n">
        <v>49226</v>
      </c>
      <c r="E467" s="3" t="n">
        <v>53788</v>
      </c>
      <c r="F467" s="2" t="s">
        <v>14</v>
      </c>
      <c r="G467" s="3" t="n">
        <v>1093</v>
      </c>
      <c r="H467" s="2" t="s">
        <v>15</v>
      </c>
      <c r="I467" s="2" t="n">
        <v>1000</v>
      </c>
      <c r="J467" s="4" t="n">
        <f aca="false">IFERROR(E467*I467/D467,"")</f>
        <v>1092.67460285215</v>
      </c>
      <c r="K467" s="5" t="n">
        <f aca="false">IFERROR((J467-G467)/G467,"")</f>
        <v>-0.000297710107821283</v>
      </c>
      <c r="L467" s="2" t="str">
        <f aca="false">IF(K467="","",IF(ABS(K467)&gt;0.05,"CHECK","OK"))</f>
        <v>OK</v>
      </c>
    </row>
    <row r="468" customFormat="false" ht="15" hidden="false" customHeight="false" outlineLevel="0" collapsed="false">
      <c r="A468" s="2" t="s">
        <v>70</v>
      </c>
      <c r="B468" s="2" t="n">
        <v>2018</v>
      </c>
      <c r="C468" s="2" t="s">
        <v>81</v>
      </c>
      <c r="D468" s="3" t="n">
        <v>2645435</v>
      </c>
      <c r="E468" s="3" t="n">
        <v>9839458</v>
      </c>
      <c r="F468" s="2" t="s">
        <v>14</v>
      </c>
      <c r="G468" s="3" t="n">
        <v>3719</v>
      </c>
      <c r="H468" s="2" t="s">
        <v>15</v>
      </c>
      <c r="I468" s="2" t="n">
        <v>1000</v>
      </c>
      <c r="J468" s="4" t="n">
        <f aca="false">IFERROR(E468*I468/D468,"")</f>
        <v>3719.41022931956</v>
      </c>
      <c r="K468" s="5" t="n">
        <f aca="false">IFERROR((J468-G468)/G468,"")</f>
        <v>0.000110306351052371</v>
      </c>
      <c r="L468" s="2" t="str">
        <f aca="false">IF(K468="","",IF(ABS(K468)&gt;0.05,"CHECK","OK"))</f>
        <v>OK</v>
      </c>
    </row>
    <row r="469" customFormat="false" ht="15" hidden="false" customHeight="false" outlineLevel="0" collapsed="false">
      <c r="A469" s="2" t="s">
        <v>70</v>
      </c>
      <c r="B469" s="2" t="n">
        <v>2018</v>
      </c>
      <c r="C469" s="2" t="s">
        <v>82</v>
      </c>
      <c r="D469" s="3" t="n">
        <v>41381</v>
      </c>
      <c r="E469" s="3" t="n">
        <v>51632</v>
      </c>
      <c r="F469" s="2" t="s">
        <v>14</v>
      </c>
      <c r="G469" s="3" t="n">
        <v>1248</v>
      </c>
      <c r="H469" s="2" t="s">
        <v>15</v>
      </c>
      <c r="I469" s="2" t="n">
        <v>1000</v>
      </c>
      <c r="J469" s="4" t="n">
        <f aca="false">IFERROR(E469*I469/D469,"")</f>
        <v>1247.72238466929</v>
      </c>
      <c r="K469" s="5" t="n">
        <f aca="false">IFERROR((J469-G469)/G469,"")</f>
        <v>-0.00022244818165645</v>
      </c>
      <c r="L469" s="2" t="str">
        <f aca="false">IF(K469="","",IF(ABS(K469)&gt;0.05,"CHECK","OK"))</f>
        <v>OK</v>
      </c>
    </row>
    <row r="470" customFormat="false" ht="15" hidden="false" customHeight="false" outlineLevel="0" collapsed="false">
      <c r="A470" s="2" t="s">
        <v>71</v>
      </c>
      <c r="B470" s="2" t="n">
        <v>2019</v>
      </c>
      <c r="C470" s="2" t="s">
        <v>81</v>
      </c>
      <c r="D470" s="3" t="n">
        <v>2868864</v>
      </c>
      <c r="E470" s="3" t="n">
        <v>10896630</v>
      </c>
      <c r="F470" s="2" t="s">
        <v>14</v>
      </c>
      <c r="G470" s="3" t="n">
        <v>3798</v>
      </c>
      <c r="H470" s="2" t="s">
        <v>15</v>
      </c>
      <c r="I470" s="2" t="n">
        <v>1000</v>
      </c>
      <c r="J470" s="4" t="n">
        <f aca="false">IFERROR(E470*I470/D470,"")</f>
        <v>3798.23860594298</v>
      </c>
      <c r="K470" s="5" t="n">
        <f aca="false">IFERROR((J470-G470)/G470,"")</f>
        <v>6.28241029435427E-005</v>
      </c>
      <c r="L470" s="2" t="str">
        <f aca="false">IF(K470="","",IF(ABS(K470)&gt;0.05,"CHECK","OK"))</f>
        <v>OK</v>
      </c>
    </row>
    <row r="471" customFormat="false" ht="15" hidden="false" customHeight="false" outlineLevel="0" collapsed="false">
      <c r="A471" s="2" t="s">
        <v>71</v>
      </c>
      <c r="B471" s="2" t="n">
        <v>2019</v>
      </c>
      <c r="C471" s="2" t="s">
        <v>82</v>
      </c>
      <c r="D471" s="3" t="n">
        <v>41814</v>
      </c>
      <c r="E471" s="3" t="n">
        <v>53236</v>
      </c>
      <c r="F471" s="2" t="s">
        <v>14</v>
      </c>
      <c r="G471" s="3" t="n">
        <v>1273</v>
      </c>
      <c r="H471" s="2" t="s">
        <v>15</v>
      </c>
      <c r="I471" s="2" t="n">
        <v>1000</v>
      </c>
      <c r="J471" s="4" t="n">
        <f aca="false">IFERROR(E471*I471/D471,"")</f>
        <v>1273.16209881858</v>
      </c>
      <c r="K471" s="5" t="n">
        <f aca="false">IFERROR((J471-G471)/G471,"")</f>
        <v>0.000127336071152815</v>
      </c>
      <c r="L471" s="2" t="str">
        <f aca="false">IF(K471="","",IF(ABS(K471)&gt;0.05,"CHECK","OK"))</f>
        <v>OK</v>
      </c>
    </row>
    <row r="472" customFormat="false" ht="15" hidden="false" customHeight="false" outlineLevel="0" collapsed="false">
      <c r="A472" s="2" t="s">
        <v>72</v>
      </c>
      <c r="B472" s="2" t="n">
        <v>2020</v>
      </c>
      <c r="C472" s="2" t="s">
        <v>81</v>
      </c>
      <c r="D472" s="3" t="n">
        <v>3016683</v>
      </c>
      <c r="E472" s="3" t="n">
        <v>10351791</v>
      </c>
      <c r="F472" s="2" t="s">
        <v>14</v>
      </c>
      <c r="G472" s="3" t="n">
        <v>3432</v>
      </c>
      <c r="H472" s="2" t="s">
        <v>15</v>
      </c>
      <c r="I472" s="2" t="n">
        <v>1000</v>
      </c>
      <c r="J472" s="4" t="n">
        <f aca="false">IFERROR(E472*I472/D472,"")</f>
        <v>3431.51434870684</v>
      </c>
      <c r="K472" s="5" t="n">
        <f aca="false">IFERROR((J472-G472)/G472,"")</f>
        <v>-0.000141506787050919</v>
      </c>
      <c r="L472" s="2" t="str">
        <f aca="false">IF(K472="","",IF(ABS(K472)&gt;0.05,"CHECK","OK"))</f>
        <v>OK</v>
      </c>
    </row>
    <row r="473" customFormat="false" ht="15" hidden="false" customHeight="false" outlineLevel="0" collapsed="false">
      <c r="A473" s="2" t="s">
        <v>72</v>
      </c>
      <c r="B473" s="2" t="n">
        <v>2020</v>
      </c>
      <c r="C473" s="2" t="s">
        <v>82</v>
      </c>
      <c r="D473" s="3" t="n">
        <v>47325</v>
      </c>
      <c r="E473" s="3" t="n">
        <v>49625</v>
      </c>
      <c r="F473" s="2" t="s">
        <v>14</v>
      </c>
      <c r="G473" s="3" t="n">
        <v>1049</v>
      </c>
      <c r="H473" s="2" t="s">
        <v>15</v>
      </c>
      <c r="I473" s="2" t="n">
        <v>1000</v>
      </c>
      <c r="J473" s="4" t="n">
        <f aca="false">IFERROR(E473*I473/D473,"")</f>
        <v>1048.6001056524</v>
      </c>
      <c r="K473" s="5" t="n">
        <f aca="false">IFERROR((J473-G473)/G473,"")</f>
        <v>-0.000381214821350334</v>
      </c>
      <c r="L473" s="2" t="str">
        <f aca="false">IF(K473="","",IF(ABS(K473)&gt;0.05,"CHECK","OK"))</f>
        <v>OK</v>
      </c>
    </row>
    <row r="474" customFormat="false" ht="15" hidden="false" customHeight="false" outlineLevel="0" collapsed="false">
      <c r="A474" s="2" t="s">
        <v>73</v>
      </c>
      <c r="B474" s="2" t="n">
        <v>2021</v>
      </c>
      <c r="C474" s="2" t="s">
        <v>81</v>
      </c>
      <c r="D474" s="3" t="n">
        <v>3171953</v>
      </c>
      <c r="E474" s="3" t="n">
        <v>11498647</v>
      </c>
      <c r="F474" s="2" t="s">
        <v>14</v>
      </c>
      <c r="G474" s="3" t="n">
        <v>3625</v>
      </c>
      <c r="H474" s="2" t="s">
        <v>15</v>
      </c>
      <c r="I474" s="2" t="n">
        <v>1000</v>
      </c>
      <c r="J474" s="4" t="n">
        <f aca="false">IFERROR(E474*I474/D474,"")</f>
        <v>3625.10005665279</v>
      </c>
      <c r="K474" s="5" t="n">
        <f aca="false">IFERROR((J474-G474)/G474,"")</f>
        <v>2.76018352535551E-005</v>
      </c>
      <c r="L474" s="2" t="str">
        <f aca="false">IF(K474="","",IF(ABS(K474)&gt;0.05,"CHECK","OK"))</f>
        <v>OK</v>
      </c>
    </row>
    <row r="475" customFormat="false" ht="15" hidden="false" customHeight="false" outlineLevel="0" collapsed="false">
      <c r="A475" s="2" t="s">
        <v>73</v>
      </c>
      <c r="B475" s="2" t="n">
        <v>2021</v>
      </c>
      <c r="C475" s="2" t="s">
        <v>82</v>
      </c>
      <c r="D475" s="3" t="n">
        <v>48314</v>
      </c>
      <c r="E475" s="3" t="n">
        <v>45198</v>
      </c>
      <c r="F475" s="2" t="s">
        <v>14</v>
      </c>
      <c r="G475" s="3" t="n">
        <v>936</v>
      </c>
      <c r="H475" s="2" t="s">
        <v>15</v>
      </c>
      <c r="I475" s="2" t="n">
        <v>1000</v>
      </c>
      <c r="J475" s="4" t="n">
        <f aca="false">IFERROR(E475*I475/D475,"")</f>
        <v>935.50523657739</v>
      </c>
      <c r="K475" s="5" t="n">
        <f aca="false">IFERROR((J475-G475)/G475,"")</f>
        <v>-0.000528593400224776</v>
      </c>
      <c r="L475" s="2" t="str">
        <f aca="false">IF(K475="","",IF(ABS(K475)&gt;0.05,"CHECK","OK"))</f>
        <v>OK</v>
      </c>
    </row>
    <row r="476" customFormat="false" ht="15" hidden="false" customHeight="false" outlineLevel="0" collapsed="false">
      <c r="A476" s="2" t="s">
        <v>74</v>
      </c>
      <c r="B476" s="2" t="n">
        <v>2022</v>
      </c>
      <c r="C476" s="2" t="s">
        <v>81</v>
      </c>
      <c r="D476" s="3" t="n">
        <v>3082653</v>
      </c>
      <c r="E476" s="3" t="n">
        <v>11187580</v>
      </c>
      <c r="F476" s="2" t="s">
        <v>14</v>
      </c>
      <c r="G476" s="3" t="n">
        <v>3629</v>
      </c>
      <c r="H476" s="2" t="s">
        <v>15</v>
      </c>
      <c r="I476" s="2" t="n">
        <v>1000</v>
      </c>
      <c r="J476" s="4" t="n">
        <f aca="false">IFERROR(E476*I476/D476,"")</f>
        <v>3629.20510352609</v>
      </c>
      <c r="K476" s="5" t="n">
        <f aca="false">IFERROR((J476-G476)/G476,"")</f>
        <v>5.65179184585498E-005</v>
      </c>
      <c r="L476" s="2" t="str">
        <f aca="false">IF(K476="","",IF(ABS(K476)&gt;0.05,"CHECK","OK"))</f>
        <v>OK</v>
      </c>
    </row>
    <row r="477" customFormat="false" ht="15" hidden="false" customHeight="false" outlineLevel="0" collapsed="false">
      <c r="A477" s="2" t="s">
        <v>74</v>
      </c>
      <c r="B477" s="2" t="n">
        <v>2022</v>
      </c>
      <c r="C477" s="2" t="s">
        <v>82</v>
      </c>
      <c r="D477" s="3" t="n">
        <v>43589</v>
      </c>
      <c r="E477" s="3" t="n">
        <v>45266</v>
      </c>
      <c r="F477" s="2" t="s">
        <v>14</v>
      </c>
      <c r="G477" s="3" t="n">
        <v>1039</v>
      </c>
      <c r="H477" s="2" t="s">
        <v>15</v>
      </c>
      <c r="I477" s="2" t="n">
        <v>1000</v>
      </c>
      <c r="J477" s="4" t="n">
        <f aca="false">IFERROR(E477*I477/D477,"")</f>
        <v>1038.47300924545</v>
      </c>
      <c r="K477" s="5" t="n">
        <f aca="false">IFERROR((J477-G477)/G477,"")</f>
        <v>-0.000507209580893408</v>
      </c>
      <c r="L477" s="2" t="str">
        <f aca="false">IF(K477="","",IF(ABS(K477)&gt;0.05,"CHECK","OK"))</f>
        <v>OK</v>
      </c>
    </row>
    <row r="478" customFormat="false" ht="15" hidden="false" customHeight="false" outlineLevel="0" collapsed="false">
      <c r="A478" s="2" t="s">
        <v>75</v>
      </c>
      <c r="B478" s="2" t="n">
        <v>2023</v>
      </c>
      <c r="C478" s="2" t="s">
        <v>81</v>
      </c>
      <c r="D478" s="3" t="n">
        <v>3054010</v>
      </c>
      <c r="E478" s="3" t="n">
        <v>10564468</v>
      </c>
      <c r="F478" s="2" t="s">
        <v>14</v>
      </c>
      <c r="G478" s="3" t="n">
        <v>3459</v>
      </c>
      <c r="H478" s="2" t="s">
        <v>15</v>
      </c>
      <c r="I478" s="2" t="n">
        <v>1000</v>
      </c>
      <c r="J478" s="4" t="n">
        <f aca="false">IFERROR(E478*I478/D478,"")</f>
        <v>3459.21198686317</v>
      </c>
      <c r="K478" s="5" t="n">
        <f aca="false">IFERROR((J478-G478)/G478,"")</f>
        <v>6.12855921287884E-005</v>
      </c>
      <c r="L478" s="2" t="str">
        <f aca="false">IF(K478="","",IF(ABS(K478)&gt;0.05,"CHECK","OK"))</f>
        <v>OK</v>
      </c>
    </row>
    <row r="479" customFormat="false" ht="15" hidden="false" customHeight="false" outlineLevel="0" collapsed="false">
      <c r="A479" s="2" t="s">
        <v>75</v>
      </c>
      <c r="B479" s="2" t="n">
        <v>2023</v>
      </c>
      <c r="C479" s="2" t="s">
        <v>82</v>
      </c>
      <c r="D479" s="3" t="n">
        <v>39195</v>
      </c>
      <c r="E479" s="3" t="n">
        <v>38671</v>
      </c>
      <c r="F479" s="2" t="s">
        <v>14</v>
      </c>
      <c r="G479" s="3" t="n">
        <v>987</v>
      </c>
      <c r="H479" s="2" t="s">
        <v>15</v>
      </c>
      <c r="I479" s="2" t="n">
        <v>1000</v>
      </c>
      <c r="J479" s="4" t="n">
        <f aca="false">IFERROR(E479*I479/D479,"")</f>
        <v>986.630947824978</v>
      </c>
      <c r="K479" s="5" t="n">
        <f aca="false">IFERROR((J479-G479)/G479,"")</f>
        <v>-0.000373913044602204</v>
      </c>
      <c r="L479" s="2" t="str">
        <f aca="false">IF(K479="","",IF(ABS(K479)&gt;0.05,"CHECK","OK"))</f>
        <v>OK</v>
      </c>
    </row>
    <row r="480" customFormat="false" ht="15" hidden="false" customHeight="false" outlineLevel="0" collapsed="false">
      <c r="A480" s="2" t="s">
        <v>76</v>
      </c>
      <c r="B480" s="2" t="n">
        <v>2024</v>
      </c>
      <c r="C480" s="2" t="s">
        <v>81</v>
      </c>
      <c r="D480" s="3" t="n">
        <v>3121316</v>
      </c>
      <c r="E480" s="3" t="n">
        <v>10621898</v>
      </c>
      <c r="F480" s="2" t="s">
        <v>14</v>
      </c>
      <c r="G480" s="3" t="n">
        <v>3403</v>
      </c>
      <c r="H480" s="2" t="s">
        <v>15</v>
      </c>
      <c r="I480" s="2" t="n">
        <v>1000</v>
      </c>
      <c r="J480" s="4" t="n">
        <f aca="false">IFERROR(E480*I480/D480,"")</f>
        <v>3403.01911116978</v>
      </c>
      <c r="K480" s="5" t="n">
        <f aca="false">IFERROR((J480-G480)/G480,"")</f>
        <v>5.61597701319336E-006</v>
      </c>
      <c r="L480" s="2" t="str">
        <f aca="false">IF(K480="","",IF(ABS(K480)&gt;0.05,"CHECK","OK"))</f>
        <v>OK</v>
      </c>
    </row>
    <row r="481" customFormat="false" ht="15" hidden="false" customHeight="false" outlineLevel="0" collapsed="false">
      <c r="A481" s="2" t="s">
        <v>76</v>
      </c>
      <c r="B481" s="2" t="n">
        <v>2024</v>
      </c>
      <c r="C481" s="2" t="s">
        <v>82</v>
      </c>
      <c r="D481" s="3" t="n">
        <v>59168</v>
      </c>
      <c r="E481" s="3" t="n">
        <v>60104</v>
      </c>
      <c r="F481" s="2" t="s">
        <v>14</v>
      </c>
      <c r="G481" s="3" t="n">
        <v>1016</v>
      </c>
      <c r="H481" s="2" t="s">
        <v>15</v>
      </c>
      <c r="I481" s="2" t="n">
        <v>1000</v>
      </c>
      <c r="J481" s="4" t="n">
        <f aca="false">IFERROR(E481*I481/D481,"")</f>
        <v>1015.8193618172</v>
      </c>
      <c r="K481" s="5" t="n">
        <f aca="false">IFERROR((J481-G481)/G481,"")</f>
        <v>-0.000177793487009394</v>
      </c>
      <c r="L481" s="2" t="str">
        <f aca="false">IF(K481="","",IF(ABS(K481)&gt;0.05,"CHECK","OK"))</f>
        <v>OK</v>
      </c>
    </row>
    <row r="482" customFormat="false" ht="15" hidden="false" customHeight="false" outlineLevel="0" collapsed="false">
      <c r="A482" s="2" t="s">
        <v>12</v>
      </c>
      <c r="B482" s="2" t="n">
        <v>1965</v>
      </c>
      <c r="C482" s="2" t="s">
        <v>83</v>
      </c>
      <c r="D482" s="3" t="n">
        <v>2371</v>
      </c>
      <c r="E482" s="3" t="n">
        <v>1270</v>
      </c>
      <c r="F482" s="2" t="s">
        <v>14</v>
      </c>
      <c r="G482" s="3" t="n">
        <v>543</v>
      </c>
      <c r="H482" s="2" t="s">
        <v>15</v>
      </c>
      <c r="I482" s="2" t="n">
        <v>1000</v>
      </c>
      <c r="J482" s="4" t="n">
        <f aca="false">IFERROR(E482*I482/D482,"")</f>
        <v>535.638970898355</v>
      </c>
      <c r="K482" s="5" t="n">
        <f aca="false">IFERROR((J482-G482)/G482,"")</f>
        <v>-0.0135562230232872</v>
      </c>
      <c r="L482" s="2" t="str">
        <f aca="false">IF(K482="","",IF(ABS(K482)&gt;0.05,"CHECK","OK"))</f>
        <v>OK</v>
      </c>
    </row>
    <row r="483" customFormat="false" ht="15" hidden="false" customHeight="false" outlineLevel="0" collapsed="false">
      <c r="A483" s="2" t="s">
        <v>12</v>
      </c>
      <c r="B483" s="2" t="n">
        <v>1965</v>
      </c>
      <c r="C483" s="2" t="s">
        <v>84</v>
      </c>
      <c r="D483" s="3" t="n">
        <v>42779</v>
      </c>
      <c r="E483" s="3" t="n">
        <v>10280</v>
      </c>
      <c r="F483" s="2" t="s">
        <v>14</v>
      </c>
      <c r="G483" s="3" t="n">
        <v>240</v>
      </c>
      <c r="H483" s="2" t="s">
        <v>15</v>
      </c>
      <c r="I483" s="2" t="n">
        <v>1000</v>
      </c>
      <c r="J483" s="4" t="n">
        <f aca="false">IFERROR(E483*I483/D483,"")</f>
        <v>240.304822459618</v>
      </c>
      <c r="K483" s="5" t="n">
        <f aca="false">IFERROR((J483-G483)/G483,"")</f>
        <v>0.00127009358174182</v>
      </c>
      <c r="L483" s="2" t="str">
        <f aca="false">IF(K483="","",IF(ABS(K483)&gt;0.05,"CHECK","OK"))</f>
        <v>OK</v>
      </c>
    </row>
    <row r="484" customFormat="false" ht="15" hidden="false" customHeight="false" outlineLevel="0" collapsed="false">
      <c r="A484" s="2" t="s">
        <v>12</v>
      </c>
      <c r="B484" s="2" t="n">
        <v>1965</v>
      </c>
      <c r="C484" s="2" t="s">
        <v>85</v>
      </c>
      <c r="D484" s="3" t="n">
        <v>44326</v>
      </c>
      <c r="E484" s="3" t="n">
        <v>14100</v>
      </c>
      <c r="F484" s="2" t="s">
        <v>14</v>
      </c>
      <c r="G484" s="3" t="n">
        <v>318</v>
      </c>
      <c r="H484" s="2" t="s">
        <v>15</v>
      </c>
      <c r="I484" s="2" t="n">
        <v>1000</v>
      </c>
      <c r="J484" s="4" t="n">
        <f aca="false">IFERROR(E484*I484/D484,"")</f>
        <v>318.097730451654</v>
      </c>
      <c r="K484" s="5" t="n">
        <f aca="false">IFERROR((J484-G484)/G484,"")</f>
        <v>0.000307328464319687</v>
      </c>
      <c r="L484" s="2" t="str">
        <f aca="false">IF(K484="","",IF(ABS(K484)&gt;0.05,"CHECK","OK"))</f>
        <v>OK</v>
      </c>
    </row>
    <row r="485" customFormat="false" ht="15" hidden="false" customHeight="false" outlineLevel="0" collapsed="false">
      <c r="A485" s="2" t="s">
        <v>18</v>
      </c>
      <c r="B485" s="2" t="n">
        <v>1966</v>
      </c>
      <c r="C485" s="2" t="s">
        <v>83</v>
      </c>
      <c r="D485" s="3" t="n">
        <v>1861</v>
      </c>
      <c r="E485" s="3" t="n">
        <v>990</v>
      </c>
      <c r="F485" s="2" t="s">
        <v>14</v>
      </c>
      <c r="G485" s="3" t="n">
        <v>538</v>
      </c>
      <c r="H485" s="2" t="s">
        <v>15</v>
      </c>
      <c r="I485" s="2" t="n">
        <v>1000</v>
      </c>
      <c r="J485" s="4" t="n">
        <f aca="false">IFERROR(E485*I485/D485,"")</f>
        <v>531.972058033315</v>
      </c>
      <c r="K485" s="5" t="n">
        <f aca="false">IFERROR((J485-G485)/G485,"")</f>
        <v>-0.0112043530979267</v>
      </c>
      <c r="L485" s="2" t="str">
        <f aca="false">IF(K485="","",IF(ABS(K485)&gt;0.05,"CHECK","OK"))</f>
        <v>OK</v>
      </c>
    </row>
    <row r="486" customFormat="false" ht="15" hidden="false" customHeight="false" outlineLevel="0" collapsed="false">
      <c r="A486" s="2" t="s">
        <v>18</v>
      </c>
      <c r="B486" s="2" t="n">
        <v>1966</v>
      </c>
      <c r="C486" s="2" t="s">
        <v>84</v>
      </c>
      <c r="D486" s="3" t="n">
        <v>44013</v>
      </c>
      <c r="E486" s="3" t="n">
        <v>10760</v>
      </c>
      <c r="F486" s="2" t="s">
        <v>14</v>
      </c>
      <c r="G486" s="3" t="n">
        <v>244</v>
      </c>
      <c r="H486" s="2" t="s">
        <v>15</v>
      </c>
      <c r="I486" s="2" t="n">
        <v>1000</v>
      </c>
      <c r="J486" s="4" t="n">
        <f aca="false">IFERROR(E486*I486/D486,"")</f>
        <v>244.473223820235</v>
      </c>
      <c r="K486" s="5" t="n">
        <f aca="false">IFERROR((J486-G486)/G486,"")</f>
        <v>0.00193944188620869</v>
      </c>
      <c r="L486" s="2" t="str">
        <f aca="false">IF(K486="","",IF(ABS(K486)&gt;0.05,"CHECK","OK"))</f>
        <v>OK</v>
      </c>
    </row>
    <row r="487" customFormat="false" ht="15" hidden="false" customHeight="false" outlineLevel="0" collapsed="false">
      <c r="A487" s="2" t="s">
        <v>18</v>
      </c>
      <c r="B487" s="2" t="n">
        <v>1966</v>
      </c>
      <c r="C487" s="2" t="s">
        <v>85</v>
      </c>
      <c r="D487" s="3" t="n">
        <v>40544</v>
      </c>
      <c r="E487" s="3" t="n">
        <v>13030</v>
      </c>
      <c r="F487" s="2" t="s">
        <v>14</v>
      </c>
      <c r="G487" s="3" t="n">
        <v>321</v>
      </c>
      <c r="H487" s="2" t="s">
        <v>15</v>
      </c>
      <c r="I487" s="2" t="n">
        <v>1000</v>
      </c>
      <c r="J487" s="4" t="n">
        <f aca="false">IFERROR(E487*I487/D487,"")</f>
        <v>321.379242304657</v>
      </c>
      <c r="K487" s="5" t="n">
        <f aca="false">IFERROR((J487-G487)/G487,"")</f>
        <v>0.00118144020142261</v>
      </c>
      <c r="L487" s="2" t="str">
        <f aca="false">IF(K487="","",IF(ABS(K487)&gt;0.05,"CHECK","OK"))</f>
        <v>OK</v>
      </c>
    </row>
    <row r="488" customFormat="false" ht="15" hidden="false" customHeight="false" outlineLevel="0" collapsed="false">
      <c r="A488" s="2" t="s">
        <v>19</v>
      </c>
      <c r="B488" s="2" t="n">
        <v>1967</v>
      </c>
      <c r="C488" s="2" t="s">
        <v>83</v>
      </c>
      <c r="D488" s="3" t="n">
        <v>3366</v>
      </c>
      <c r="E488" s="3" t="n">
        <v>1760</v>
      </c>
      <c r="F488" s="2" t="s">
        <v>14</v>
      </c>
      <c r="G488" s="3" t="n">
        <v>526</v>
      </c>
      <c r="H488" s="2" t="s">
        <v>15</v>
      </c>
      <c r="I488" s="2" t="n">
        <v>1000</v>
      </c>
      <c r="J488" s="4" t="n">
        <f aca="false">IFERROR(E488*I488/D488,"")</f>
        <v>522.875816993464</v>
      </c>
      <c r="K488" s="5" t="n">
        <f aca="false">IFERROR((J488-G488)/G488,"")</f>
        <v>-0.00593951141926994</v>
      </c>
      <c r="L488" s="2" t="str">
        <f aca="false">IF(K488="","",IF(ABS(K488)&gt;0.05,"CHECK","OK"))</f>
        <v>OK</v>
      </c>
    </row>
    <row r="489" customFormat="false" ht="15" hidden="false" customHeight="false" outlineLevel="0" collapsed="false">
      <c r="A489" s="2" t="s">
        <v>19</v>
      </c>
      <c r="B489" s="2" t="n">
        <v>1967</v>
      </c>
      <c r="C489" s="2" t="s">
        <v>84</v>
      </c>
      <c r="D489" s="3" t="n">
        <v>44852</v>
      </c>
      <c r="E489" s="3" t="n">
        <v>11100</v>
      </c>
      <c r="F489" s="2" t="s">
        <v>14</v>
      </c>
      <c r="G489" s="3" t="n">
        <v>247</v>
      </c>
      <c r="H489" s="2" t="s">
        <v>15</v>
      </c>
      <c r="I489" s="2" t="n">
        <v>1000</v>
      </c>
      <c r="J489" s="4" t="n">
        <f aca="false">IFERROR(E489*I489/D489,"")</f>
        <v>247.480602871667</v>
      </c>
      <c r="K489" s="5" t="n">
        <f aca="false">IFERROR((J489-G489)/G489,"")</f>
        <v>0.00194576061403564</v>
      </c>
      <c r="L489" s="2" t="str">
        <f aca="false">IF(K489="","",IF(ABS(K489)&gt;0.05,"CHECK","OK"))</f>
        <v>OK</v>
      </c>
    </row>
    <row r="490" customFormat="false" ht="15" hidden="false" customHeight="false" outlineLevel="0" collapsed="false">
      <c r="A490" s="2" t="s">
        <v>19</v>
      </c>
      <c r="B490" s="2" t="n">
        <v>1967</v>
      </c>
      <c r="C490" s="2" t="s">
        <v>85</v>
      </c>
      <c r="D490" s="3" t="n">
        <v>46015</v>
      </c>
      <c r="E490" s="3" t="n">
        <v>14820</v>
      </c>
      <c r="F490" s="2" t="s">
        <v>14</v>
      </c>
      <c r="G490" s="3" t="n">
        <v>322</v>
      </c>
      <c r="H490" s="2" t="s">
        <v>15</v>
      </c>
      <c r="I490" s="2" t="n">
        <v>1000</v>
      </c>
      <c r="J490" s="4" t="n">
        <f aca="false">IFERROR(E490*I490/D490,"")</f>
        <v>322.068890579159</v>
      </c>
      <c r="K490" s="5" t="n">
        <f aca="false">IFERROR((J490-G490)/G490,"")</f>
        <v>0.000213945898009194</v>
      </c>
      <c r="L490" s="2" t="str">
        <f aca="false">IF(K490="","",IF(ABS(K490)&gt;0.05,"CHECK","OK"))</f>
        <v>OK</v>
      </c>
    </row>
    <row r="491" customFormat="false" ht="15" hidden="false" customHeight="false" outlineLevel="0" collapsed="false">
      <c r="A491" s="2" t="s">
        <v>20</v>
      </c>
      <c r="B491" s="2" t="n">
        <v>1968</v>
      </c>
      <c r="C491" s="2" t="s">
        <v>83</v>
      </c>
      <c r="D491" s="3" t="n">
        <v>3764</v>
      </c>
      <c r="E491" s="3" t="n">
        <v>1930</v>
      </c>
      <c r="F491" s="2" t="s">
        <v>14</v>
      </c>
      <c r="G491" s="3" t="n">
        <v>515</v>
      </c>
      <c r="H491" s="2" t="s">
        <v>15</v>
      </c>
      <c r="I491" s="2" t="n">
        <v>1000</v>
      </c>
      <c r="J491" s="4" t="n">
        <f aca="false">IFERROR(E491*I491/D491,"")</f>
        <v>512.752391073326</v>
      </c>
      <c r="K491" s="5" t="n">
        <f aca="false">IFERROR((J491-G491)/G491,"")</f>
        <v>-0.0043642891780072</v>
      </c>
      <c r="L491" s="2" t="str">
        <f aca="false">IF(K491="","",IF(ABS(K491)&gt;0.05,"CHECK","OK"))</f>
        <v>OK</v>
      </c>
    </row>
    <row r="492" customFormat="false" ht="15" hidden="false" customHeight="false" outlineLevel="0" collapsed="false">
      <c r="A492" s="2" t="s">
        <v>20</v>
      </c>
      <c r="B492" s="2" t="n">
        <v>1968</v>
      </c>
      <c r="C492" s="2" t="s">
        <v>84</v>
      </c>
      <c r="D492" s="3" t="n">
        <v>52805</v>
      </c>
      <c r="E492" s="3" t="n">
        <v>13410</v>
      </c>
      <c r="F492" s="2" t="s">
        <v>14</v>
      </c>
      <c r="G492" s="3" t="n">
        <v>254</v>
      </c>
      <c r="H492" s="2" t="s">
        <v>15</v>
      </c>
      <c r="I492" s="2" t="n">
        <v>1000</v>
      </c>
      <c r="J492" s="4" t="n">
        <f aca="false">IFERROR(E492*I492/D492,"")</f>
        <v>253.953224126503</v>
      </c>
      <c r="K492" s="5" t="n">
        <f aca="false">IFERROR((J492-G492)/G492,"")</f>
        <v>-0.000184156982271029</v>
      </c>
      <c r="L492" s="2" t="str">
        <f aca="false">IF(K492="","",IF(ABS(K492)&gt;0.05,"CHECK","OK"))</f>
        <v>OK</v>
      </c>
    </row>
    <row r="493" customFormat="false" ht="15" hidden="false" customHeight="false" outlineLevel="0" collapsed="false">
      <c r="A493" s="2" t="s">
        <v>20</v>
      </c>
      <c r="B493" s="2" t="n">
        <v>1968</v>
      </c>
      <c r="C493" s="2" t="s">
        <v>85</v>
      </c>
      <c r="D493" s="3" t="n">
        <v>48656</v>
      </c>
      <c r="E493" s="3" t="n">
        <v>14790</v>
      </c>
      <c r="F493" s="2" t="s">
        <v>14</v>
      </c>
      <c r="G493" s="3" t="n">
        <v>304</v>
      </c>
      <c r="H493" s="2" t="s">
        <v>15</v>
      </c>
      <c r="I493" s="2" t="n">
        <v>1000</v>
      </c>
      <c r="J493" s="4" t="n">
        <f aca="false">IFERROR(E493*I493/D493,"")</f>
        <v>303.970733311411</v>
      </c>
      <c r="K493" s="5" t="n">
        <f aca="false">IFERROR((J493-G493)/G493,"")</f>
        <v>-9.62720019384957E-005</v>
      </c>
      <c r="L493" s="2" t="str">
        <f aca="false">IF(K493="","",IF(ABS(K493)&gt;0.05,"CHECK","OK"))</f>
        <v>OK</v>
      </c>
    </row>
    <row r="494" customFormat="false" ht="15" hidden="false" customHeight="false" outlineLevel="0" collapsed="false">
      <c r="A494" s="2" t="s">
        <v>21</v>
      </c>
      <c r="B494" s="2" t="n">
        <v>1969</v>
      </c>
      <c r="C494" s="2" t="s">
        <v>83</v>
      </c>
      <c r="D494" s="3" t="n">
        <v>1960</v>
      </c>
      <c r="E494" s="3" t="n">
        <v>1040</v>
      </c>
      <c r="F494" s="2" t="s">
        <v>14</v>
      </c>
      <c r="G494" s="3" t="n">
        <v>543</v>
      </c>
      <c r="H494" s="2" t="s">
        <v>15</v>
      </c>
      <c r="I494" s="2" t="n">
        <v>1000</v>
      </c>
      <c r="J494" s="4" t="n">
        <f aca="false">IFERROR(E494*I494/D494,"")</f>
        <v>530.612244897959</v>
      </c>
      <c r="K494" s="5" t="n">
        <f aca="false">IFERROR((J494-G494)/G494,"")</f>
        <v>-0.0228135453076259</v>
      </c>
      <c r="L494" s="2" t="str">
        <f aca="false">IF(K494="","",IF(ABS(K494)&gt;0.05,"CHECK","OK"))</f>
        <v>OK</v>
      </c>
    </row>
    <row r="495" customFormat="false" ht="15" hidden="false" customHeight="false" outlineLevel="0" collapsed="false">
      <c r="A495" s="2" t="s">
        <v>21</v>
      </c>
      <c r="B495" s="2" t="n">
        <v>1969</v>
      </c>
      <c r="C495" s="2" t="s">
        <v>84</v>
      </c>
      <c r="D495" s="3" t="n">
        <v>41981</v>
      </c>
      <c r="E495" s="3" t="n">
        <v>10340</v>
      </c>
      <c r="F495" s="2" t="s">
        <v>14</v>
      </c>
      <c r="G495" s="3" t="n">
        <v>246</v>
      </c>
      <c r="H495" s="2" t="s">
        <v>15</v>
      </c>
      <c r="I495" s="2" t="n">
        <v>1000</v>
      </c>
      <c r="J495" s="4" t="n">
        <f aca="false">IFERROR(E495*I495/D495,"")</f>
        <v>246.301898477883</v>
      </c>
      <c r="K495" s="5" t="n">
        <f aca="false">IFERROR((J495-G495)/G495,"")</f>
        <v>0.00122722958488961</v>
      </c>
      <c r="L495" s="2" t="str">
        <f aca="false">IF(K495="","",IF(ABS(K495)&gt;0.05,"CHECK","OK"))</f>
        <v>OK</v>
      </c>
    </row>
    <row r="496" customFormat="false" ht="15" hidden="false" customHeight="false" outlineLevel="0" collapsed="false">
      <c r="A496" s="2" t="s">
        <v>21</v>
      </c>
      <c r="B496" s="2" t="n">
        <v>1969</v>
      </c>
      <c r="C496" s="2" t="s">
        <v>85</v>
      </c>
      <c r="D496" s="3" t="n">
        <v>43280</v>
      </c>
      <c r="E496" s="3" t="n">
        <v>13980</v>
      </c>
      <c r="F496" s="2" t="s">
        <v>14</v>
      </c>
      <c r="G496" s="3" t="n">
        <v>323</v>
      </c>
      <c r="H496" s="2" t="s">
        <v>15</v>
      </c>
      <c r="I496" s="2" t="n">
        <v>1000</v>
      </c>
      <c r="J496" s="4" t="n">
        <f aca="false">IFERROR(E496*I496/D496,"")</f>
        <v>323.012939001848</v>
      </c>
      <c r="K496" s="5" t="n">
        <f aca="false">IFERROR((J496-G496)/G496,"")</f>
        <v>4.00588292521716E-005</v>
      </c>
      <c r="L496" s="2" t="str">
        <f aca="false">IF(K496="","",IF(ABS(K496)&gt;0.05,"CHECK","OK"))</f>
        <v>OK</v>
      </c>
    </row>
    <row r="497" customFormat="false" ht="15" hidden="false" customHeight="false" outlineLevel="0" collapsed="false">
      <c r="A497" s="2" t="s">
        <v>22</v>
      </c>
      <c r="B497" s="2" t="n">
        <v>1970</v>
      </c>
      <c r="C497" s="2" t="s">
        <v>83</v>
      </c>
      <c r="D497" s="3" t="n">
        <v>4350</v>
      </c>
      <c r="E497" s="3" t="n">
        <v>2360</v>
      </c>
      <c r="F497" s="2" t="s">
        <v>14</v>
      </c>
      <c r="G497" s="3" t="n">
        <v>543</v>
      </c>
      <c r="H497" s="2" t="s">
        <v>15</v>
      </c>
      <c r="I497" s="2" t="n">
        <v>1000</v>
      </c>
      <c r="J497" s="4" t="n">
        <f aca="false">IFERROR(E497*I497/D497,"")</f>
        <v>542.528735632184</v>
      </c>
      <c r="K497" s="5" t="n">
        <f aca="false">IFERROR((J497-G497)/G497,"")</f>
        <v>-0.000867890180140051</v>
      </c>
      <c r="L497" s="2" t="str">
        <f aca="false">IF(K497="","",IF(ABS(K497)&gt;0.05,"CHECK","OK"))</f>
        <v>OK</v>
      </c>
    </row>
    <row r="498" customFormat="false" ht="15" hidden="false" customHeight="false" outlineLevel="0" collapsed="false">
      <c r="A498" s="2" t="s">
        <v>22</v>
      </c>
      <c r="B498" s="2" t="n">
        <v>1970</v>
      </c>
      <c r="C498" s="2" t="s">
        <v>84</v>
      </c>
      <c r="D498" s="3" t="n">
        <v>61839</v>
      </c>
      <c r="E498" s="3" t="n">
        <v>14910</v>
      </c>
      <c r="F498" s="2" t="s">
        <v>14</v>
      </c>
      <c r="G498" s="3" t="n">
        <v>241</v>
      </c>
      <c r="H498" s="2" t="s">
        <v>15</v>
      </c>
      <c r="I498" s="2" t="n">
        <v>1000</v>
      </c>
      <c r="J498" s="4" t="n">
        <f aca="false">IFERROR(E498*I498/D498,"")</f>
        <v>241.109979139378</v>
      </c>
      <c r="K498" s="5" t="n">
        <f aca="false">IFERROR((J498-G498)/G498,"")</f>
        <v>0.000456344976672427</v>
      </c>
      <c r="L498" s="2" t="str">
        <f aca="false">IF(K498="","",IF(ABS(K498)&gt;0.05,"CHECK","OK"))</f>
        <v>OK</v>
      </c>
    </row>
    <row r="499" customFormat="false" ht="15" hidden="false" customHeight="false" outlineLevel="0" collapsed="false">
      <c r="A499" s="2" t="s">
        <v>22</v>
      </c>
      <c r="B499" s="2" t="n">
        <v>1970</v>
      </c>
      <c r="C499" s="2" t="s">
        <v>85</v>
      </c>
      <c r="D499" s="3" t="n">
        <v>97154</v>
      </c>
      <c r="E499" s="3" t="n">
        <v>30460</v>
      </c>
      <c r="F499" s="2" t="s">
        <v>14</v>
      </c>
      <c r="G499" s="3" t="n">
        <v>314</v>
      </c>
      <c r="H499" s="2" t="s">
        <v>15</v>
      </c>
      <c r="I499" s="2" t="n">
        <v>1000</v>
      </c>
      <c r="J499" s="4" t="n">
        <f aca="false">IFERROR(E499*I499/D499,"")</f>
        <v>313.522860613047</v>
      </c>
      <c r="K499" s="5" t="n">
        <f aca="false">IFERROR((J499-G499)/G499,"")</f>
        <v>-0.00151955218774736</v>
      </c>
      <c r="L499" s="2" t="str">
        <f aca="false">IF(K499="","",IF(ABS(K499)&gt;0.05,"CHECK","OK"))</f>
        <v>OK</v>
      </c>
    </row>
    <row r="500" customFormat="false" ht="15" hidden="false" customHeight="false" outlineLevel="0" collapsed="false">
      <c r="A500" s="2" t="s">
        <v>23</v>
      </c>
      <c r="B500" s="2" t="n">
        <v>1971</v>
      </c>
      <c r="C500" s="2" t="s">
        <v>83</v>
      </c>
      <c r="D500" s="3" t="n">
        <v>3520</v>
      </c>
      <c r="E500" s="3" t="n">
        <v>2160</v>
      </c>
      <c r="F500" s="2" t="s">
        <v>14</v>
      </c>
      <c r="G500" s="3" t="n">
        <v>549</v>
      </c>
      <c r="H500" s="2" t="s">
        <v>15</v>
      </c>
      <c r="I500" s="2" t="n">
        <v>1000</v>
      </c>
      <c r="J500" s="4" t="n">
        <f aca="false">IFERROR(E500*I500/D500,"")</f>
        <v>613.636363636364</v>
      </c>
      <c r="K500" s="5" t="n">
        <f aca="false">IFERROR((J500-G500)/G500,"")</f>
        <v>0.117734724292101</v>
      </c>
      <c r="L500" s="2" t="str">
        <f aca="false">IF(K500="","",IF(ABS(K500)&gt;0.05,"CHECK","OK"))</f>
        <v>CHECK</v>
      </c>
    </row>
    <row r="501" customFormat="false" ht="15" hidden="false" customHeight="false" outlineLevel="0" collapsed="false">
      <c r="A501" s="2" t="s">
        <v>23</v>
      </c>
      <c r="B501" s="2" t="n">
        <v>1971</v>
      </c>
      <c r="C501" s="2" t="s">
        <v>84</v>
      </c>
      <c r="D501" s="3" t="n">
        <v>88535</v>
      </c>
      <c r="E501" s="3" t="n">
        <v>33120</v>
      </c>
      <c r="F501" s="2" t="s">
        <v>14</v>
      </c>
      <c r="G501" s="3" t="n">
        <v>374</v>
      </c>
      <c r="H501" s="2" t="s">
        <v>15</v>
      </c>
      <c r="I501" s="2" t="n">
        <v>1000</v>
      </c>
      <c r="J501" s="4" t="n">
        <f aca="false">IFERROR(E501*I501/D501,"")</f>
        <v>374.089343197605</v>
      </c>
      <c r="K501" s="5" t="n">
        <f aca="false">IFERROR((J501-G501)/G501,"")</f>
        <v>0.000238885555094771</v>
      </c>
      <c r="L501" s="2" t="str">
        <f aca="false">IF(K501="","",IF(ABS(K501)&gt;0.05,"CHECK","OK"))</f>
        <v>OK</v>
      </c>
    </row>
    <row r="502" customFormat="false" ht="15" hidden="false" customHeight="false" outlineLevel="0" collapsed="false">
      <c r="A502" s="2" t="s">
        <v>23</v>
      </c>
      <c r="B502" s="2" t="n">
        <v>1971</v>
      </c>
      <c r="C502" s="2" t="s">
        <v>85</v>
      </c>
      <c r="D502" s="3" t="n">
        <v>107069</v>
      </c>
      <c r="E502" s="3" t="n">
        <v>41160</v>
      </c>
      <c r="F502" s="2" t="s">
        <v>14</v>
      </c>
      <c r="G502" s="3" t="n">
        <v>384</v>
      </c>
      <c r="H502" s="2" t="s">
        <v>15</v>
      </c>
      <c r="I502" s="2" t="n">
        <v>1000</v>
      </c>
      <c r="J502" s="4" t="n">
        <f aca="false">IFERROR(E502*I502/D502,"")</f>
        <v>384.424996964574</v>
      </c>
      <c r="K502" s="5" t="n">
        <f aca="false">IFERROR((J502-G502)/G502,"")</f>
        <v>0.00110676292857873</v>
      </c>
      <c r="L502" s="2" t="str">
        <f aca="false">IF(K502="","",IF(ABS(K502)&gt;0.05,"CHECK","OK"))</f>
        <v>OK</v>
      </c>
    </row>
    <row r="503" customFormat="false" ht="15" hidden="false" customHeight="false" outlineLevel="0" collapsed="false">
      <c r="A503" s="2" t="s">
        <v>24</v>
      </c>
      <c r="B503" s="2" t="n">
        <v>1972</v>
      </c>
      <c r="C503" s="2" t="s">
        <v>83</v>
      </c>
      <c r="D503" s="3" t="n">
        <v>8420</v>
      </c>
      <c r="E503" s="3" t="n">
        <v>5070</v>
      </c>
      <c r="F503" s="2" t="s">
        <v>14</v>
      </c>
      <c r="G503" s="3" t="n">
        <v>600</v>
      </c>
      <c r="H503" s="2" t="s">
        <v>15</v>
      </c>
      <c r="I503" s="2" t="n">
        <v>1000</v>
      </c>
      <c r="J503" s="4" t="n">
        <f aca="false">IFERROR(E503*I503/D503,"")</f>
        <v>602.137767220903</v>
      </c>
      <c r="K503" s="5" t="n">
        <f aca="false">IFERROR((J503-G503)/G503,"")</f>
        <v>0.00356294536817093</v>
      </c>
      <c r="L503" s="2" t="str">
        <f aca="false">IF(K503="","",IF(ABS(K503)&gt;0.05,"CHECK","OK"))</f>
        <v>OK</v>
      </c>
    </row>
    <row r="504" customFormat="false" ht="15" hidden="false" customHeight="false" outlineLevel="0" collapsed="false">
      <c r="A504" s="2" t="s">
        <v>24</v>
      </c>
      <c r="B504" s="2" t="n">
        <v>1972</v>
      </c>
      <c r="C504" s="2" t="s">
        <v>84</v>
      </c>
      <c r="D504" s="3" t="n">
        <v>101247</v>
      </c>
      <c r="E504" s="3" t="n">
        <v>35230</v>
      </c>
      <c r="F504" s="2" t="s">
        <v>14</v>
      </c>
      <c r="G504" s="3" t="n">
        <v>348</v>
      </c>
      <c r="H504" s="2" t="s">
        <v>15</v>
      </c>
      <c r="I504" s="2" t="n">
        <v>1000</v>
      </c>
      <c r="J504" s="4" t="n">
        <f aca="false">IFERROR(E504*I504/D504,"")</f>
        <v>347.96092723735</v>
      </c>
      <c r="K504" s="5" t="n">
        <f aca="false">IFERROR((J504-G504)/G504,"")</f>
        <v>-0.000112278053591283</v>
      </c>
      <c r="L504" s="2" t="str">
        <f aca="false">IF(K504="","",IF(ABS(K504)&gt;0.05,"CHECK","OK"))</f>
        <v>OK</v>
      </c>
    </row>
    <row r="505" customFormat="false" ht="15" hidden="false" customHeight="false" outlineLevel="0" collapsed="false">
      <c r="A505" s="2" t="s">
        <v>24</v>
      </c>
      <c r="B505" s="2" t="n">
        <v>1972</v>
      </c>
      <c r="C505" s="2" t="s">
        <v>85</v>
      </c>
      <c r="D505" s="3" t="n">
        <v>147482</v>
      </c>
      <c r="E505" s="3" t="n">
        <v>49330</v>
      </c>
      <c r="F505" s="2" t="s">
        <v>14</v>
      </c>
      <c r="G505" s="3" t="n">
        <v>334</v>
      </c>
      <c r="H505" s="2" t="s">
        <v>15</v>
      </c>
      <c r="I505" s="2" t="n">
        <v>1000</v>
      </c>
      <c r="J505" s="4" t="n">
        <f aca="false">IFERROR(E505*I505/D505,"")</f>
        <v>334.481496046975</v>
      </c>
      <c r="K505" s="5" t="n">
        <f aca="false">IFERROR((J505-G505)/G505,"")</f>
        <v>0.00144160493106354</v>
      </c>
      <c r="L505" s="2" t="str">
        <f aca="false">IF(K505="","",IF(ABS(K505)&gt;0.05,"CHECK","OK"))</f>
        <v>OK</v>
      </c>
    </row>
    <row r="506" customFormat="false" ht="15" hidden="false" customHeight="false" outlineLevel="0" collapsed="false">
      <c r="A506" s="2" t="s">
        <v>25</v>
      </c>
      <c r="B506" s="2" t="n">
        <v>1973</v>
      </c>
      <c r="C506" s="2" t="s">
        <v>83</v>
      </c>
      <c r="D506" s="3" t="n">
        <v>11448</v>
      </c>
      <c r="E506" s="3" t="n">
        <v>6960</v>
      </c>
      <c r="F506" s="2" t="s">
        <v>14</v>
      </c>
      <c r="G506" s="3" t="n">
        <v>606</v>
      </c>
      <c r="H506" s="2" t="s">
        <v>15</v>
      </c>
      <c r="I506" s="2" t="n">
        <v>1000</v>
      </c>
      <c r="J506" s="4" t="n">
        <f aca="false">IFERROR(E506*I506/D506,"")</f>
        <v>607.966457023061</v>
      </c>
      <c r="K506" s="5" t="n">
        <f aca="false">IFERROR((J506-G506)/G506,"")</f>
        <v>0.00324497858590891</v>
      </c>
      <c r="L506" s="2" t="str">
        <f aca="false">IF(K506="","",IF(ABS(K506)&gt;0.05,"CHECK","OK"))</f>
        <v>OK</v>
      </c>
    </row>
    <row r="507" customFormat="false" ht="15" hidden="false" customHeight="false" outlineLevel="0" collapsed="false">
      <c r="A507" s="2" t="s">
        <v>25</v>
      </c>
      <c r="B507" s="2" t="n">
        <v>1973</v>
      </c>
      <c r="C507" s="2" t="s">
        <v>84</v>
      </c>
      <c r="D507" s="3" t="n">
        <v>122992</v>
      </c>
      <c r="E507" s="3" t="n">
        <v>41040</v>
      </c>
      <c r="F507" s="2" t="s">
        <v>14</v>
      </c>
      <c r="G507" s="3" t="n">
        <v>334</v>
      </c>
      <c r="H507" s="2" t="s">
        <v>15</v>
      </c>
      <c r="I507" s="2" t="n">
        <v>1000</v>
      </c>
      <c r="J507" s="4" t="n">
        <f aca="false">IFERROR(E507*I507/D507,"")</f>
        <v>333.680239365162</v>
      </c>
      <c r="K507" s="5" t="n">
        <f aca="false">IFERROR((J507-G507)/G507,"")</f>
        <v>-0.00095736717017371</v>
      </c>
      <c r="L507" s="2" t="str">
        <f aca="false">IF(K507="","",IF(ABS(K507)&gt;0.05,"CHECK","OK"))</f>
        <v>OK</v>
      </c>
    </row>
    <row r="508" customFormat="false" ht="15" hidden="false" customHeight="false" outlineLevel="0" collapsed="false">
      <c r="A508" s="2" t="s">
        <v>25</v>
      </c>
      <c r="B508" s="2" t="n">
        <v>1973</v>
      </c>
      <c r="C508" s="2" t="s">
        <v>85</v>
      </c>
      <c r="D508" s="3" t="n">
        <v>158008</v>
      </c>
      <c r="E508" s="3" t="n">
        <v>51780</v>
      </c>
      <c r="F508" s="2" t="s">
        <v>14</v>
      </c>
      <c r="G508" s="3" t="n">
        <v>328</v>
      </c>
      <c r="H508" s="2" t="s">
        <v>15</v>
      </c>
      <c r="I508" s="2" t="n">
        <v>1000</v>
      </c>
      <c r="J508" s="4" t="n">
        <f aca="false">IFERROR(E508*I508/D508,"")</f>
        <v>327.704926332844</v>
      </c>
      <c r="K508" s="5" t="n">
        <f aca="false">IFERROR((J508-G508)/G508,"")</f>
        <v>-0.000899614838890515</v>
      </c>
      <c r="L508" s="2" t="str">
        <f aca="false">IF(K508="","",IF(ABS(K508)&gt;0.05,"CHECK","OK"))</f>
        <v>OK</v>
      </c>
    </row>
    <row r="509" customFormat="false" ht="15" hidden="false" customHeight="false" outlineLevel="0" collapsed="false">
      <c r="A509" s="2" t="s">
        <v>26</v>
      </c>
      <c r="B509" s="2" t="n">
        <v>1974</v>
      </c>
      <c r="C509" s="2" t="s">
        <v>83</v>
      </c>
      <c r="D509" s="3" t="n">
        <v>12831</v>
      </c>
      <c r="E509" s="3" t="n">
        <v>4840</v>
      </c>
      <c r="F509" s="2" t="s">
        <v>14</v>
      </c>
      <c r="G509" s="3" t="n">
        <v>375</v>
      </c>
      <c r="H509" s="2" t="s">
        <v>15</v>
      </c>
      <c r="I509" s="2" t="n">
        <v>1000</v>
      </c>
      <c r="J509" s="4" t="n">
        <f aca="false">IFERROR(E509*I509/D509,"")</f>
        <v>377.211441041228</v>
      </c>
      <c r="K509" s="5" t="n">
        <f aca="false">IFERROR((J509-G509)/G509,"")</f>
        <v>0.00589717610994209</v>
      </c>
      <c r="L509" s="2" t="str">
        <f aca="false">IF(K509="","",IF(ABS(K509)&gt;0.05,"CHECK","OK"))</f>
        <v>OK</v>
      </c>
    </row>
    <row r="510" customFormat="false" ht="15" hidden="false" customHeight="false" outlineLevel="0" collapsed="false">
      <c r="A510" s="2" t="s">
        <v>26</v>
      </c>
      <c r="B510" s="2" t="n">
        <v>1974</v>
      </c>
      <c r="C510" s="2" t="s">
        <v>84</v>
      </c>
      <c r="D510" s="3" t="n">
        <v>76074</v>
      </c>
      <c r="E510" s="3" t="n">
        <v>25940</v>
      </c>
      <c r="F510" s="2" t="s">
        <v>14</v>
      </c>
      <c r="G510" s="3" t="n">
        <v>341</v>
      </c>
      <c r="H510" s="2" t="s">
        <v>15</v>
      </c>
      <c r="I510" s="2" t="n">
        <v>1000</v>
      </c>
      <c r="J510" s="4" t="n">
        <f aca="false">IFERROR(E510*I510/D510,"")</f>
        <v>340.983778952073</v>
      </c>
      <c r="K510" s="5" t="n">
        <f aca="false">IFERROR((J510-G510)/G510,"")</f>
        <v>-4.75690555043701E-005</v>
      </c>
      <c r="L510" s="2" t="str">
        <f aca="false">IF(K510="","",IF(ABS(K510)&gt;0.05,"CHECK","OK"))</f>
        <v>OK</v>
      </c>
    </row>
    <row r="511" customFormat="false" ht="15" hidden="false" customHeight="false" outlineLevel="0" collapsed="false">
      <c r="A511" s="2" t="s">
        <v>26</v>
      </c>
      <c r="B511" s="2" t="n">
        <v>1974</v>
      </c>
      <c r="C511" s="2" t="s">
        <v>85</v>
      </c>
      <c r="D511" s="3" t="n">
        <v>96431</v>
      </c>
      <c r="E511" s="3" t="n">
        <v>25810</v>
      </c>
      <c r="F511" s="2" t="s">
        <v>14</v>
      </c>
      <c r="G511" s="3" t="n">
        <v>268</v>
      </c>
      <c r="H511" s="2" t="s">
        <v>15</v>
      </c>
      <c r="I511" s="2" t="n">
        <v>1000</v>
      </c>
      <c r="J511" s="4" t="n">
        <f aca="false">IFERROR(E511*I511/D511,"")</f>
        <v>267.652518381019</v>
      </c>
      <c r="K511" s="5" t="n">
        <f aca="false">IFERROR((J511-G511)/G511,"")</f>
        <v>-0.00129657320515476</v>
      </c>
      <c r="L511" s="2" t="str">
        <f aca="false">IF(K511="","",IF(ABS(K511)&gt;0.05,"CHECK","OK"))</f>
        <v>OK</v>
      </c>
    </row>
    <row r="512" customFormat="false" ht="15" hidden="false" customHeight="false" outlineLevel="0" collapsed="false">
      <c r="A512" s="2" t="s">
        <v>27</v>
      </c>
      <c r="B512" s="2" t="n">
        <v>1975</v>
      </c>
      <c r="C512" s="2" t="s">
        <v>83</v>
      </c>
      <c r="D512" s="3" t="n">
        <v>7705</v>
      </c>
      <c r="E512" s="3" t="n">
        <v>4340</v>
      </c>
      <c r="F512" s="2" t="s">
        <v>14</v>
      </c>
      <c r="G512" s="3" t="n">
        <v>563</v>
      </c>
      <c r="H512" s="2" t="s">
        <v>15</v>
      </c>
      <c r="I512" s="2" t="n">
        <v>1000</v>
      </c>
      <c r="J512" s="4" t="n">
        <f aca="false">IFERROR(E512*I512/D512,"")</f>
        <v>563.270603504218</v>
      </c>
      <c r="K512" s="5" t="n">
        <f aca="false">IFERROR((J512-G512)/G512,"")</f>
        <v>0.000480645655804622</v>
      </c>
      <c r="L512" s="2" t="str">
        <f aca="false">IF(K512="","",IF(ABS(K512)&gt;0.05,"CHECK","OK"))</f>
        <v>OK</v>
      </c>
    </row>
    <row r="513" customFormat="false" ht="15" hidden="false" customHeight="false" outlineLevel="0" collapsed="false">
      <c r="A513" s="2" t="s">
        <v>27</v>
      </c>
      <c r="B513" s="2" t="n">
        <v>1975</v>
      </c>
      <c r="C513" s="2" t="s">
        <v>84</v>
      </c>
      <c r="D513" s="3" t="n">
        <v>78254</v>
      </c>
      <c r="E513" s="3" t="n">
        <v>16350</v>
      </c>
      <c r="F513" s="2" t="s">
        <v>14</v>
      </c>
      <c r="G513" s="3" t="n">
        <v>209</v>
      </c>
      <c r="H513" s="2" t="s">
        <v>15</v>
      </c>
      <c r="I513" s="2" t="n">
        <v>1000</v>
      </c>
      <c r="J513" s="4" t="n">
        <f aca="false">IFERROR(E513*I513/D513,"")</f>
        <v>208.935006517239</v>
      </c>
      <c r="K513" s="5" t="n">
        <f aca="false">IFERROR((J513-G513)/G513,"")</f>
        <v>-0.000310973601728481</v>
      </c>
      <c r="L513" s="2" t="str">
        <f aca="false">IF(K513="","",IF(ABS(K513)&gt;0.05,"CHECK","OK"))</f>
        <v>OK</v>
      </c>
    </row>
    <row r="514" customFormat="false" ht="15" hidden="false" customHeight="false" outlineLevel="0" collapsed="false">
      <c r="A514" s="2" t="s">
        <v>27</v>
      </c>
      <c r="B514" s="2" t="n">
        <v>1975</v>
      </c>
      <c r="C514" s="2" t="s">
        <v>85</v>
      </c>
      <c r="D514" s="3" t="n">
        <v>92501</v>
      </c>
      <c r="E514" s="3" t="n">
        <v>20770</v>
      </c>
      <c r="F514" s="2" t="s">
        <v>14</v>
      </c>
      <c r="G514" s="3" t="n">
        <v>225</v>
      </c>
      <c r="H514" s="2" t="s">
        <v>15</v>
      </c>
      <c r="I514" s="2" t="n">
        <v>1000</v>
      </c>
      <c r="J514" s="4" t="n">
        <f aca="false">IFERROR(E514*I514/D514,"")</f>
        <v>224.53811310148</v>
      </c>
      <c r="K514" s="5" t="n">
        <f aca="false">IFERROR((J514-G514)/G514,"")</f>
        <v>-0.00205283066008898</v>
      </c>
      <c r="L514" s="2" t="str">
        <f aca="false">IF(K514="","",IF(ABS(K514)&gt;0.05,"CHECK","OK"))</f>
        <v>OK</v>
      </c>
    </row>
    <row r="515" customFormat="false" ht="15" hidden="false" customHeight="false" outlineLevel="0" collapsed="false">
      <c r="A515" s="2" t="s">
        <v>28</v>
      </c>
      <c r="B515" s="2" t="n">
        <v>1976</v>
      </c>
      <c r="C515" s="2" t="s">
        <v>83</v>
      </c>
      <c r="D515" s="3" t="n">
        <v>12119</v>
      </c>
      <c r="E515" s="3" t="n">
        <v>6980</v>
      </c>
      <c r="F515" s="2" t="s">
        <v>14</v>
      </c>
      <c r="G515" s="3" t="n">
        <v>575</v>
      </c>
      <c r="H515" s="2" t="s">
        <v>15</v>
      </c>
      <c r="I515" s="2" t="n">
        <v>1000</v>
      </c>
      <c r="J515" s="4" t="n">
        <f aca="false">IFERROR(E515*I515/D515,"")</f>
        <v>575.955111807905</v>
      </c>
      <c r="K515" s="5" t="n">
        <f aca="false">IFERROR((J515-G515)/G515,"")</f>
        <v>0.0016610640137477</v>
      </c>
      <c r="L515" s="2" t="str">
        <f aca="false">IF(K515="","",IF(ABS(K515)&gt;0.05,"CHECK","OK"))</f>
        <v>OK</v>
      </c>
    </row>
    <row r="516" customFormat="false" ht="15" hidden="false" customHeight="false" outlineLevel="0" collapsed="false">
      <c r="A516" s="2" t="s">
        <v>28</v>
      </c>
      <c r="B516" s="2" t="n">
        <v>1976</v>
      </c>
      <c r="C516" s="2" t="s">
        <v>84</v>
      </c>
      <c r="D516" s="3" t="n">
        <v>80424</v>
      </c>
      <c r="E516" s="3" t="n">
        <v>29630</v>
      </c>
      <c r="F516" s="2" t="s">
        <v>14</v>
      </c>
      <c r="G516" s="3" t="n">
        <v>368</v>
      </c>
      <c r="H516" s="2" t="s">
        <v>15</v>
      </c>
      <c r="I516" s="2" t="n">
        <v>1000</v>
      </c>
      <c r="J516" s="4" t="n">
        <f aca="false">IFERROR(E516*I516/D516,"")</f>
        <v>368.422361484134</v>
      </c>
      <c r="K516" s="5" t="n">
        <f aca="false">IFERROR((J516-G516)/G516,"")</f>
        <v>0.00114772142427749</v>
      </c>
      <c r="L516" s="2" t="str">
        <f aca="false">IF(K516="","",IF(ABS(K516)&gt;0.05,"CHECK","OK"))</f>
        <v>OK</v>
      </c>
    </row>
    <row r="517" customFormat="false" ht="15" hidden="false" customHeight="false" outlineLevel="0" collapsed="false">
      <c r="A517" s="2" t="s">
        <v>28</v>
      </c>
      <c r="B517" s="2" t="n">
        <v>1976</v>
      </c>
      <c r="C517" s="2" t="s">
        <v>85</v>
      </c>
      <c r="D517" s="3" t="n">
        <v>120249</v>
      </c>
      <c r="E517" s="3" t="n">
        <v>41440</v>
      </c>
      <c r="F517" s="2" t="s">
        <v>14</v>
      </c>
      <c r="G517" s="3" t="n">
        <v>345</v>
      </c>
      <c r="H517" s="2" t="s">
        <v>15</v>
      </c>
      <c r="I517" s="2" t="n">
        <v>1000</v>
      </c>
      <c r="J517" s="4" t="n">
        <f aca="false">IFERROR(E517*I517/D517,"")</f>
        <v>344.618250463621</v>
      </c>
      <c r="K517" s="5" t="n">
        <f aca="false">IFERROR((J517-G517)/G517,"")</f>
        <v>-0.00110652039530047</v>
      </c>
      <c r="L517" s="2" t="str">
        <f aca="false">IF(K517="","",IF(ABS(K517)&gt;0.05,"CHECK","OK"))</f>
        <v>OK</v>
      </c>
    </row>
    <row r="518" customFormat="false" ht="15" hidden="false" customHeight="false" outlineLevel="0" collapsed="false">
      <c r="A518" s="2" t="s">
        <v>29</v>
      </c>
      <c r="B518" s="2" t="n">
        <v>1977</v>
      </c>
      <c r="C518" s="2" t="s">
        <v>83</v>
      </c>
      <c r="D518" s="3" t="n">
        <v>5765</v>
      </c>
      <c r="E518" s="3" t="n">
        <v>3370</v>
      </c>
      <c r="F518" s="2" t="s">
        <v>14</v>
      </c>
      <c r="G518" s="3" t="n">
        <v>588</v>
      </c>
      <c r="H518" s="2" t="s">
        <v>15</v>
      </c>
      <c r="I518" s="2" t="n">
        <v>1000</v>
      </c>
      <c r="J518" s="4" t="n">
        <f aca="false">IFERROR(E518*I518/D518,"")</f>
        <v>584.562012142238</v>
      </c>
      <c r="K518" s="5" t="n">
        <f aca="false">IFERROR((J518-G518)/G518,"")</f>
        <v>-0.00584691812544613</v>
      </c>
      <c r="L518" s="2" t="str">
        <f aca="false">IF(K518="","",IF(ABS(K518)&gt;0.05,"CHECK","OK"))</f>
        <v>OK</v>
      </c>
    </row>
    <row r="519" customFormat="false" ht="15" hidden="false" customHeight="false" outlineLevel="0" collapsed="false">
      <c r="A519" s="2" t="s">
        <v>29</v>
      </c>
      <c r="B519" s="2" t="n">
        <v>1977</v>
      </c>
      <c r="C519" s="2" t="s">
        <v>84</v>
      </c>
      <c r="D519" s="3" t="n">
        <v>88762</v>
      </c>
      <c r="E519" s="3" t="n">
        <v>33490</v>
      </c>
      <c r="F519" s="2" t="s">
        <v>14</v>
      </c>
      <c r="G519" s="3" t="n">
        <v>377</v>
      </c>
      <c r="H519" s="2" t="s">
        <v>15</v>
      </c>
      <c r="I519" s="2" t="n">
        <v>1000</v>
      </c>
      <c r="J519" s="4" t="n">
        <f aca="false">IFERROR(E519*I519/D519,"")</f>
        <v>377.301097316419</v>
      </c>
      <c r="K519" s="5" t="n">
        <f aca="false">IFERROR((J519-G519)/G519,"")</f>
        <v>0.000798666621801598</v>
      </c>
      <c r="L519" s="2" t="str">
        <f aca="false">IF(K519="","",IF(ABS(K519)&gt;0.05,"CHECK","OK"))</f>
        <v>OK</v>
      </c>
    </row>
    <row r="520" customFormat="false" ht="15" hidden="false" customHeight="false" outlineLevel="0" collapsed="false">
      <c r="A520" s="2" t="s">
        <v>29</v>
      </c>
      <c r="B520" s="2" t="n">
        <v>1977</v>
      </c>
      <c r="C520" s="2" t="s">
        <v>85</v>
      </c>
      <c r="D520" s="3" t="n">
        <v>146518</v>
      </c>
      <c r="E520" s="3" t="n">
        <v>61720</v>
      </c>
      <c r="F520" s="2" t="s">
        <v>14</v>
      </c>
      <c r="G520" s="3" t="n">
        <v>421</v>
      </c>
      <c r="H520" s="2" t="s">
        <v>15</v>
      </c>
      <c r="I520" s="2" t="n">
        <v>1000</v>
      </c>
      <c r="J520" s="4" t="n">
        <f aca="false">IFERROR(E520*I520/D520,"")</f>
        <v>421.245171241759</v>
      </c>
      <c r="K520" s="5" t="n">
        <f aca="false">IFERROR((J520-G520)/G520,"")</f>
        <v>0.000582354493488525</v>
      </c>
      <c r="L520" s="2" t="str">
        <f aca="false">IF(K520="","",IF(ABS(K520)&gt;0.05,"CHECK","OK"))</f>
        <v>OK</v>
      </c>
    </row>
    <row r="521" customFormat="false" ht="15" hidden="false" customHeight="false" outlineLevel="0" collapsed="false">
      <c r="A521" s="2" t="s">
        <v>30</v>
      </c>
      <c r="B521" s="2" t="n">
        <v>1978</v>
      </c>
      <c r="C521" s="2" t="s">
        <v>83</v>
      </c>
      <c r="D521" s="3" t="n">
        <v>9527</v>
      </c>
      <c r="E521" s="3" t="n">
        <v>5610</v>
      </c>
      <c r="F521" s="2" t="s">
        <v>14</v>
      </c>
      <c r="G521" s="3" t="n">
        <v>588</v>
      </c>
      <c r="H521" s="2" t="s">
        <v>15</v>
      </c>
      <c r="I521" s="2" t="n">
        <v>1000</v>
      </c>
      <c r="J521" s="4" t="n">
        <f aca="false">IFERROR(E521*I521/D521,"")</f>
        <v>588.852734333998</v>
      </c>
      <c r="K521" s="5" t="n">
        <f aca="false">IFERROR((J521-G521)/G521,"")</f>
        <v>0.00145022845918047</v>
      </c>
      <c r="L521" s="2" t="str">
        <f aca="false">IF(K521="","",IF(ABS(K521)&gt;0.05,"CHECK","OK"))</f>
        <v>OK</v>
      </c>
    </row>
    <row r="522" customFormat="false" ht="15" hidden="false" customHeight="false" outlineLevel="0" collapsed="false">
      <c r="A522" s="2" t="s">
        <v>30</v>
      </c>
      <c r="B522" s="2" t="n">
        <v>1978</v>
      </c>
      <c r="C522" s="2" t="s">
        <v>84</v>
      </c>
      <c r="D522" s="3" t="n">
        <v>102559</v>
      </c>
      <c r="E522" s="3" t="n">
        <v>37030</v>
      </c>
      <c r="F522" s="2" t="s">
        <v>14</v>
      </c>
      <c r="G522" s="3" t="n">
        <v>361</v>
      </c>
      <c r="H522" s="2" t="s">
        <v>15</v>
      </c>
      <c r="I522" s="2" t="n">
        <v>1000</v>
      </c>
      <c r="J522" s="4" t="n">
        <f aca="false">IFERROR(E522*I522/D522,"")</f>
        <v>361.060462758022</v>
      </c>
      <c r="K522" s="5" t="n">
        <f aca="false">IFERROR((J522-G522)/G522,"")</f>
        <v>0.000167486864327416</v>
      </c>
      <c r="L522" s="2" t="str">
        <f aca="false">IF(K522="","",IF(ABS(K522)&gt;0.05,"CHECK","OK"))</f>
        <v>OK</v>
      </c>
    </row>
    <row r="523" customFormat="false" ht="15" hidden="false" customHeight="false" outlineLevel="0" collapsed="false">
      <c r="A523" s="2" t="s">
        <v>30</v>
      </c>
      <c r="B523" s="2" t="n">
        <v>1978</v>
      </c>
      <c r="C523" s="2" t="s">
        <v>85</v>
      </c>
      <c r="D523" s="3" t="n">
        <v>166616</v>
      </c>
      <c r="E523" s="3" t="n">
        <v>65150</v>
      </c>
      <c r="F523" s="2" t="s">
        <v>14</v>
      </c>
      <c r="G523" s="3" t="n">
        <v>391</v>
      </c>
      <c r="H523" s="2" t="s">
        <v>15</v>
      </c>
      <c r="I523" s="2" t="n">
        <v>1000</v>
      </c>
      <c r="J523" s="4" t="n">
        <f aca="false">IFERROR(E523*I523/D523,"")</f>
        <v>391.0188697364</v>
      </c>
      <c r="K523" s="5" t="n">
        <f aca="false">IFERROR((J523-G523)/G523,"")</f>
        <v>4.82601953961449E-005</v>
      </c>
      <c r="L523" s="2" t="str">
        <f aca="false">IF(K523="","",IF(ABS(K523)&gt;0.05,"CHECK","OK"))</f>
        <v>OK</v>
      </c>
    </row>
    <row r="524" customFormat="false" ht="15" hidden="false" customHeight="false" outlineLevel="0" collapsed="false">
      <c r="A524" s="2" t="s">
        <v>31</v>
      </c>
      <c r="B524" s="2" t="n">
        <v>1979</v>
      </c>
      <c r="C524" s="2" t="s">
        <v>83</v>
      </c>
      <c r="D524" s="3" t="n">
        <v>6763</v>
      </c>
      <c r="E524" s="3" t="n">
        <v>4030</v>
      </c>
      <c r="F524" s="2" t="s">
        <v>14</v>
      </c>
      <c r="G524" s="3" t="n">
        <v>600</v>
      </c>
      <c r="H524" s="2" t="s">
        <v>15</v>
      </c>
      <c r="I524" s="2" t="n">
        <v>1000</v>
      </c>
      <c r="J524" s="4" t="n">
        <f aca="false">IFERROR(E524*I524/D524,"")</f>
        <v>595.889398196067</v>
      </c>
      <c r="K524" s="5" t="n">
        <f aca="false">IFERROR((J524-G524)/G524,"")</f>
        <v>-0.00685100300655525</v>
      </c>
      <c r="L524" s="2" t="str">
        <f aca="false">IF(K524="","",IF(ABS(K524)&gt;0.05,"CHECK","OK"))</f>
        <v>OK</v>
      </c>
    </row>
    <row r="525" customFormat="false" ht="15" hidden="false" customHeight="false" outlineLevel="0" collapsed="false">
      <c r="A525" s="2" t="s">
        <v>31</v>
      </c>
      <c r="B525" s="2" t="n">
        <v>1979</v>
      </c>
      <c r="C525" s="2" t="s">
        <v>84</v>
      </c>
      <c r="D525" s="3" t="n">
        <v>98826</v>
      </c>
      <c r="E525" s="3" t="n">
        <v>32570</v>
      </c>
      <c r="F525" s="2" t="s">
        <v>14</v>
      </c>
      <c r="G525" s="3" t="n">
        <v>330</v>
      </c>
      <c r="H525" s="2" t="s">
        <v>15</v>
      </c>
      <c r="I525" s="2" t="n">
        <v>1000</v>
      </c>
      <c r="J525" s="4" t="n">
        <f aca="false">IFERROR(E525*I525/D525,"")</f>
        <v>329.569141723838</v>
      </c>
      <c r="K525" s="5" t="n">
        <f aca="false">IFERROR((J525-G525)/G525,"")</f>
        <v>-0.00130563113988532</v>
      </c>
      <c r="L525" s="2" t="str">
        <f aca="false">IF(K525="","",IF(ABS(K525)&gt;0.05,"CHECK","OK"))</f>
        <v>OK</v>
      </c>
    </row>
    <row r="526" customFormat="false" ht="15" hidden="false" customHeight="false" outlineLevel="0" collapsed="false">
      <c r="A526" s="2" t="s">
        <v>31</v>
      </c>
      <c r="B526" s="2" t="n">
        <v>1979</v>
      </c>
      <c r="C526" s="2" t="s">
        <v>85</v>
      </c>
      <c r="D526" s="3" t="n">
        <v>171628</v>
      </c>
      <c r="E526" s="3" t="n">
        <v>56100</v>
      </c>
      <c r="F526" s="2" t="s">
        <v>14</v>
      </c>
      <c r="G526" s="3" t="n">
        <v>327</v>
      </c>
      <c r="H526" s="2" t="s">
        <v>15</v>
      </c>
      <c r="I526" s="2" t="n">
        <v>1000</v>
      </c>
      <c r="J526" s="4" t="n">
        <f aca="false">IFERROR(E526*I526/D526,"")</f>
        <v>326.869741534015</v>
      </c>
      <c r="K526" s="5" t="n">
        <f aca="false">IFERROR((J526-G526)/G526,"")</f>
        <v>-0.000398343932674563</v>
      </c>
      <c r="L526" s="2" t="str">
        <f aca="false">IF(K526="","",IF(ABS(K526)&gt;0.05,"CHECK","OK"))</f>
        <v>OK</v>
      </c>
    </row>
    <row r="527" customFormat="false" ht="15" hidden="false" customHeight="false" outlineLevel="0" collapsed="false">
      <c r="A527" s="2" t="s">
        <v>32</v>
      </c>
      <c r="B527" s="2" t="n">
        <v>1980</v>
      </c>
      <c r="C527" s="2" t="s">
        <v>83</v>
      </c>
      <c r="D527" s="3" t="n">
        <v>10443</v>
      </c>
      <c r="E527" s="3" t="n">
        <v>6250</v>
      </c>
      <c r="F527" s="2" t="s">
        <v>14</v>
      </c>
      <c r="G527" s="3" t="n">
        <v>598</v>
      </c>
      <c r="H527" s="2" t="s">
        <v>15</v>
      </c>
      <c r="I527" s="2" t="n">
        <v>1000</v>
      </c>
      <c r="J527" s="4" t="n">
        <f aca="false">IFERROR(E527*I527/D527,"")</f>
        <v>598.487024801302</v>
      </c>
      <c r="K527" s="5" t="n">
        <f aca="false">IFERROR((J527-G527)/G527,"")</f>
        <v>0.0008144227446526</v>
      </c>
      <c r="L527" s="2" t="str">
        <f aca="false">IF(K527="","",IF(ABS(K527)&gt;0.05,"CHECK","OK"))</f>
        <v>OK</v>
      </c>
    </row>
    <row r="528" customFormat="false" ht="15" hidden="false" customHeight="false" outlineLevel="0" collapsed="false">
      <c r="A528" s="2" t="s">
        <v>32</v>
      </c>
      <c r="B528" s="2" t="n">
        <v>1980</v>
      </c>
      <c r="C528" s="2" t="s">
        <v>84</v>
      </c>
      <c r="D528" s="3" t="n">
        <v>94032</v>
      </c>
      <c r="E528" s="3" t="n">
        <v>29450</v>
      </c>
      <c r="F528" s="2" t="s">
        <v>14</v>
      </c>
      <c r="G528" s="3" t="n">
        <v>313</v>
      </c>
      <c r="H528" s="2" t="s">
        <v>15</v>
      </c>
      <c r="I528" s="2" t="n">
        <v>1000</v>
      </c>
      <c r="J528" s="4" t="n">
        <f aca="false">IFERROR(E528*I528/D528,"")</f>
        <v>313.191254041177</v>
      </c>
      <c r="K528" s="5" t="n">
        <f aca="false">IFERROR((J528-G528)/G528,"")</f>
        <v>0.000611035275327298</v>
      </c>
      <c r="L528" s="2" t="str">
        <f aca="false">IF(K528="","",IF(ABS(K528)&gt;0.05,"CHECK","OK"))</f>
        <v>OK</v>
      </c>
    </row>
    <row r="529" customFormat="false" ht="15" hidden="false" customHeight="false" outlineLevel="0" collapsed="false">
      <c r="A529" s="2" t="s">
        <v>32</v>
      </c>
      <c r="B529" s="2" t="n">
        <v>1980</v>
      </c>
      <c r="C529" s="2" t="s">
        <v>85</v>
      </c>
      <c r="D529" s="3" t="n">
        <v>179577</v>
      </c>
      <c r="E529" s="3" t="n">
        <v>60940</v>
      </c>
      <c r="F529" s="2" t="s">
        <v>14</v>
      </c>
      <c r="G529" s="3" t="n">
        <v>339</v>
      </c>
      <c r="H529" s="2" t="s">
        <v>15</v>
      </c>
      <c r="I529" s="2" t="n">
        <v>1000</v>
      </c>
      <c r="J529" s="4" t="n">
        <f aca="false">IFERROR(E529*I529/D529,"")</f>
        <v>339.353035188248</v>
      </c>
      <c r="K529" s="5" t="n">
        <f aca="false">IFERROR((J529-G529)/G529,"")</f>
        <v>0.00104140173524463</v>
      </c>
      <c r="L529" s="2" t="str">
        <f aca="false">IF(K529="","",IF(ABS(K529)&gt;0.05,"CHECK","OK"))</f>
        <v>OK</v>
      </c>
    </row>
    <row r="530" customFormat="false" ht="15" hidden="false" customHeight="false" outlineLevel="0" collapsed="false">
      <c r="A530" s="2" t="s">
        <v>33</v>
      </c>
      <c r="B530" s="2" t="n">
        <v>1981</v>
      </c>
      <c r="C530" s="2" t="s">
        <v>83</v>
      </c>
      <c r="D530" s="3" t="n">
        <v>6728</v>
      </c>
      <c r="E530" s="3" t="n">
        <v>4120</v>
      </c>
      <c r="F530" s="2" t="s">
        <v>14</v>
      </c>
      <c r="G530" s="3" t="n">
        <v>612</v>
      </c>
      <c r="H530" s="2" t="s">
        <v>15</v>
      </c>
      <c r="I530" s="2" t="n">
        <v>1000</v>
      </c>
      <c r="J530" s="4" t="n">
        <f aca="false">IFERROR(E530*I530/D530,"")</f>
        <v>612.366230677765</v>
      </c>
      <c r="K530" s="5" t="n">
        <f aca="false">IFERROR((J530-G530)/G530,"")</f>
        <v>0.000598416140138104</v>
      </c>
      <c r="L530" s="2" t="str">
        <f aca="false">IF(K530="","",IF(ABS(K530)&gt;0.05,"CHECK","OK"))</f>
        <v>OK</v>
      </c>
    </row>
    <row r="531" customFormat="false" ht="15" hidden="false" customHeight="false" outlineLevel="0" collapsed="false">
      <c r="A531" s="2" t="s">
        <v>33</v>
      </c>
      <c r="B531" s="2" t="n">
        <v>1981</v>
      </c>
      <c r="C531" s="2" t="s">
        <v>84</v>
      </c>
      <c r="D531" s="3" t="n">
        <v>75965</v>
      </c>
      <c r="E531" s="3" t="n">
        <v>25850</v>
      </c>
      <c r="F531" s="2" t="s">
        <v>14</v>
      </c>
      <c r="G531" s="3" t="n">
        <v>340</v>
      </c>
      <c r="H531" s="2" t="s">
        <v>15</v>
      </c>
      <c r="I531" s="2" t="n">
        <v>1000</v>
      </c>
      <c r="J531" s="4" t="n">
        <f aca="false">IFERROR(E531*I531/D531,"")</f>
        <v>340.288290660172</v>
      </c>
      <c r="K531" s="5" t="n">
        <f aca="false">IFERROR((J531-G531)/G531,"")</f>
        <v>0.000847913706389517</v>
      </c>
      <c r="L531" s="2" t="str">
        <f aca="false">IF(K531="","",IF(ABS(K531)&gt;0.05,"CHECK","OK"))</f>
        <v>OK</v>
      </c>
    </row>
    <row r="532" customFormat="false" ht="15" hidden="false" customHeight="false" outlineLevel="0" collapsed="false">
      <c r="A532" s="2" t="s">
        <v>33</v>
      </c>
      <c r="B532" s="2" t="n">
        <v>1981</v>
      </c>
      <c r="C532" s="2" t="s">
        <v>85</v>
      </c>
      <c r="D532" s="3" t="n">
        <v>144327</v>
      </c>
      <c r="E532" s="3" t="n">
        <v>53480</v>
      </c>
      <c r="F532" s="2" t="s">
        <v>14</v>
      </c>
      <c r="G532" s="3" t="n">
        <v>371</v>
      </c>
      <c r="H532" s="2" t="s">
        <v>15</v>
      </c>
      <c r="I532" s="2" t="n">
        <v>1000</v>
      </c>
      <c r="J532" s="4" t="n">
        <f aca="false">IFERROR(E532*I532/D532,"")</f>
        <v>370.547437416422</v>
      </c>
      <c r="K532" s="5" t="n">
        <f aca="false">IFERROR((J532-G532)/G532,"")</f>
        <v>-0.00121984523875353</v>
      </c>
      <c r="L532" s="2" t="str">
        <f aca="false">IF(K532="","",IF(ABS(K532)&gt;0.05,"CHECK","OK"))</f>
        <v>OK</v>
      </c>
    </row>
    <row r="533" customFormat="false" ht="15" hidden="false" customHeight="false" outlineLevel="0" collapsed="false">
      <c r="A533" s="2" t="s">
        <v>34</v>
      </c>
      <c r="B533" s="2" t="n">
        <v>1982</v>
      </c>
      <c r="C533" s="2" t="s">
        <v>83</v>
      </c>
      <c r="D533" s="3" t="n">
        <v>8230</v>
      </c>
      <c r="E533" s="3" t="n">
        <v>4630</v>
      </c>
      <c r="F533" s="2" t="s">
        <v>14</v>
      </c>
      <c r="G533" s="3" t="n">
        <v>563</v>
      </c>
      <c r="H533" s="2" t="s">
        <v>15</v>
      </c>
      <c r="I533" s="2" t="n">
        <v>1000</v>
      </c>
      <c r="J533" s="4" t="n">
        <f aca="false">IFERROR(E533*I533/D533,"")</f>
        <v>562.575941676792</v>
      </c>
      <c r="K533" s="5" t="n">
        <f aca="false">IFERROR((J533-G533)/G533,"")</f>
        <v>-0.000753211941754458</v>
      </c>
      <c r="L533" s="2" t="str">
        <f aca="false">IF(K533="","",IF(ABS(K533)&gt;0.05,"CHECK","OK"))</f>
        <v>OK</v>
      </c>
    </row>
    <row r="534" customFormat="false" ht="15" hidden="false" customHeight="false" outlineLevel="0" collapsed="false">
      <c r="A534" s="2" t="s">
        <v>34</v>
      </c>
      <c r="B534" s="2" t="n">
        <v>1982</v>
      </c>
      <c r="C534" s="2" t="s">
        <v>84</v>
      </c>
      <c r="D534" s="3" t="n">
        <v>58696</v>
      </c>
      <c r="E534" s="3" t="n">
        <v>18470</v>
      </c>
      <c r="F534" s="2" t="s">
        <v>14</v>
      </c>
      <c r="G534" s="3" t="n">
        <v>315</v>
      </c>
      <c r="H534" s="2" t="s">
        <v>15</v>
      </c>
      <c r="I534" s="2" t="n">
        <v>1000</v>
      </c>
      <c r="J534" s="4" t="n">
        <f aca="false">IFERROR(E534*I534/D534,"")</f>
        <v>314.672209349871</v>
      </c>
      <c r="K534" s="5" t="n">
        <f aca="false">IFERROR((J534-G534)/G534,"")</f>
        <v>-0.00104060523850631</v>
      </c>
      <c r="L534" s="2" t="str">
        <f aca="false">IF(K534="","",IF(ABS(K534)&gt;0.05,"CHECK","OK"))</f>
        <v>OK</v>
      </c>
    </row>
    <row r="535" customFormat="false" ht="15" hidden="false" customHeight="false" outlineLevel="0" collapsed="false">
      <c r="A535" s="2" t="s">
        <v>34</v>
      </c>
      <c r="B535" s="2" t="n">
        <v>1982</v>
      </c>
      <c r="C535" s="2" t="s">
        <v>85</v>
      </c>
      <c r="D535" s="3" t="n">
        <v>118978</v>
      </c>
      <c r="E535" s="3" t="n">
        <v>43360</v>
      </c>
      <c r="F535" s="2" t="s">
        <v>14</v>
      </c>
      <c r="G535" s="3" t="n">
        <v>364</v>
      </c>
      <c r="H535" s="2" t="s">
        <v>15</v>
      </c>
      <c r="I535" s="2" t="n">
        <v>1000</v>
      </c>
      <c r="J535" s="4" t="n">
        <f aca="false">IFERROR(E535*I535/D535,"")</f>
        <v>364.437122829431</v>
      </c>
      <c r="K535" s="5" t="n">
        <f aca="false">IFERROR((J535-G535)/G535,"")</f>
        <v>0.00120088689404032</v>
      </c>
      <c r="L535" s="2" t="str">
        <f aca="false">IF(K535="","",IF(ABS(K535)&gt;0.05,"CHECK","OK"))</f>
        <v>OK</v>
      </c>
    </row>
    <row r="536" customFormat="false" ht="15" hidden="false" customHeight="false" outlineLevel="0" collapsed="false">
      <c r="A536" s="2" t="s">
        <v>35</v>
      </c>
      <c r="B536" s="2" t="n">
        <v>1983</v>
      </c>
      <c r="C536" s="2" t="s">
        <v>83</v>
      </c>
      <c r="D536" s="3" t="n">
        <v>12679</v>
      </c>
      <c r="E536" s="3" t="n">
        <v>7610</v>
      </c>
      <c r="F536" s="2" t="s">
        <v>14</v>
      </c>
      <c r="G536" s="3" t="n">
        <v>600</v>
      </c>
      <c r="H536" s="2" t="s">
        <v>15</v>
      </c>
      <c r="I536" s="2" t="n">
        <v>1000</v>
      </c>
      <c r="J536" s="4" t="n">
        <f aca="false">IFERROR(E536*I536/D536,"")</f>
        <v>600.205063490812</v>
      </c>
      <c r="K536" s="5" t="n">
        <f aca="false">IFERROR((J536-G536)/G536,"")</f>
        <v>0.0003417724846859</v>
      </c>
      <c r="L536" s="2" t="str">
        <f aca="false">IF(K536="","",IF(ABS(K536)&gt;0.05,"CHECK","OK"))</f>
        <v>OK</v>
      </c>
    </row>
    <row r="537" customFormat="false" ht="15" hidden="false" customHeight="false" outlineLevel="0" collapsed="false">
      <c r="A537" s="2" t="s">
        <v>35</v>
      </c>
      <c r="B537" s="2" t="n">
        <v>1983</v>
      </c>
      <c r="C537" s="2" t="s">
        <v>84</v>
      </c>
      <c r="D537" s="3" t="n">
        <v>71079</v>
      </c>
      <c r="E537" s="3" t="n">
        <v>15540</v>
      </c>
      <c r="F537" s="2" t="s">
        <v>14</v>
      </c>
      <c r="G537" s="3" t="n">
        <v>219</v>
      </c>
      <c r="H537" s="2" t="s">
        <v>15</v>
      </c>
      <c r="I537" s="2" t="n">
        <v>1000</v>
      </c>
      <c r="J537" s="4" t="n">
        <f aca="false">IFERROR(E537*I537/D537,"")</f>
        <v>218.62997509813</v>
      </c>
      <c r="K537" s="5" t="n">
        <f aca="false">IFERROR((J537-G537)/G537,"")</f>
        <v>-0.00168961142406281</v>
      </c>
      <c r="L537" s="2" t="str">
        <f aca="false">IF(K537="","",IF(ABS(K537)&gt;0.05,"CHECK","OK"))</f>
        <v>OK</v>
      </c>
    </row>
    <row r="538" customFormat="false" ht="15" hidden="false" customHeight="false" outlineLevel="0" collapsed="false">
      <c r="A538" s="2" t="s">
        <v>35</v>
      </c>
      <c r="B538" s="2" t="n">
        <v>1983</v>
      </c>
      <c r="C538" s="2" t="s">
        <v>85</v>
      </c>
      <c r="D538" s="3" t="n">
        <v>195297</v>
      </c>
      <c r="E538" s="3" t="n">
        <v>49290</v>
      </c>
      <c r="F538" s="2" t="s">
        <v>14</v>
      </c>
      <c r="G538" s="3" t="n">
        <v>252</v>
      </c>
      <c r="H538" s="2" t="s">
        <v>15</v>
      </c>
      <c r="I538" s="2" t="n">
        <v>1000</v>
      </c>
      <c r="J538" s="4" t="n">
        <f aca="false">IFERROR(E538*I538/D538,"")</f>
        <v>252.38482926005</v>
      </c>
      <c r="K538" s="5" t="n">
        <f aca="false">IFERROR((J538-G538)/G538,"")</f>
        <v>0.00152710023829398</v>
      </c>
      <c r="L538" s="2" t="str">
        <f aca="false">IF(K538="","",IF(ABS(K538)&gt;0.05,"CHECK","OK"))</f>
        <v>OK</v>
      </c>
    </row>
    <row r="539" customFormat="false" ht="15" hidden="false" customHeight="false" outlineLevel="0" collapsed="false">
      <c r="A539" s="2" t="s">
        <v>36</v>
      </c>
      <c r="B539" s="2" t="n">
        <v>1984</v>
      </c>
      <c r="C539" s="2" t="s">
        <v>83</v>
      </c>
      <c r="D539" s="3" t="n">
        <v>6683</v>
      </c>
      <c r="E539" s="3" t="n">
        <v>4360</v>
      </c>
      <c r="F539" s="2" t="s">
        <v>14</v>
      </c>
      <c r="G539" s="3" t="n">
        <v>652</v>
      </c>
      <c r="H539" s="2" t="s">
        <v>15</v>
      </c>
      <c r="I539" s="2" t="n">
        <v>1000</v>
      </c>
      <c r="J539" s="4" t="n">
        <f aca="false">IFERROR(E539*I539/D539,"")</f>
        <v>652.4016160407</v>
      </c>
      <c r="K539" s="5" t="n">
        <f aca="false">IFERROR((J539-G539)/G539,"")</f>
        <v>0.000615975522546523</v>
      </c>
      <c r="L539" s="2" t="str">
        <f aca="false">IF(K539="","",IF(ABS(K539)&gt;0.05,"CHECK","OK"))</f>
        <v>OK</v>
      </c>
    </row>
    <row r="540" customFormat="false" ht="15" hidden="false" customHeight="false" outlineLevel="0" collapsed="false">
      <c r="A540" s="2" t="s">
        <v>36</v>
      </c>
      <c r="B540" s="2" t="n">
        <v>1984</v>
      </c>
      <c r="C540" s="2" t="s">
        <v>84</v>
      </c>
      <c r="D540" s="3" t="n">
        <v>92342</v>
      </c>
      <c r="E540" s="3" t="n">
        <v>32340</v>
      </c>
      <c r="F540" s="2" t="s">
        <v>14</v>
      </c>
      <c r="G540" s="3" t="n">
        <v>350</v>
      </c>
      <c r="H540" s="2" t="s">
        <v>15</v>
      </c>
      <c r="I540" s="2" t="n">
        <v>1000</v>
      </c>
      <c r="J540" s="4" t="n">
        <f aca="false">IFERROR(E540*I540/D540,"")</f>
        <v>350.219834961339</v>
      </c>
      <c r="K540" s="5" t="n">
        <f aca="false">IFERROR((J540-G540)/G540,"")</f>
        <v>0.000628099889541025</v>
      </c>
      <c r="L540" s="2" t="str">
        <f aca="false">IF(K540="","",IF(ABS(K540)&gt;0.05,"CHECK","OK"))</f>
        <v>OK</v>
      </c>
    </row>
    <row r="541" customFormat="false" ht="15" hidden="false" customHeight="false" outlineLevel="0" collapsed="false">
      <c r="A541" s="2" t="s">
        <v>36</v>
      </c>
      <c r="B541" s="2" t="n">
        <v>1984</v>
      </c>
      <c r="C541" s="2" t="s">
        <v>85</v>
      </c>
      <c r="D541" s="3" t="n">
        <v>222390</v>
      </c>
      <c r="E541" s="3" t="n">
        <v>86780</v>
      </c>
      <c r="F541" s="2" t="s">
        <v>14</v>
      </c>
      <c r="G541" s="3" t="n">
        <v>390</v>
      </c>
      <c r="H541" s="2" t="s">
        <v>15</v>
      </c>
      <c r="I541" s="2" t="n">
        <v>1000</v>
      </c>
      <c r="J541" s="4" t="n">
        <f aca="false">IFERROR(E541*I541/D541,"")</f>
        <v>390.215387382526</v>
      </c>
      <c r="K541" s="5" t="n">
        <f aca="false">IFERROR((J541-G541)/G541,"")</f>
        <v>0.000552275339810812</v>
      </c>
      <c r="L541" s="2" t="str">
        <f aca="false">IF(K541="","",IF(ABS(K541)&gt;0.05,"CHECK","OK"))</f>
        <v>OK</v>
      </c>
    </row>
    <row r="542" customFormat="false" ht="15" hidden="false" customHeight="false" outlineLevel="0" collapsed="false">
      <c r="A542" s="2" t="s">
        <v>37</v>
      </c>
      <c r="B542" s="2" t="n">
        <v>1985</v>
      </c>
      <c r="C542" s="2" t="s">
        <v>83</v>
      </c>
      <c r="D542" s="3" t="n">
        <v>9105</v>
      </c>
      <c r="E542" s="3" t="n">
        <v>6110</v>
      </c>
      <c r="F542" s="2" t="s">
        <v>14</v>
      </c>
      <c r="G542" s="3" t="n">
        <v>671</v>
      </c>
      <c r="H542" s="2" t="s">
        <v>15</v>
      </c>
      <c r="I542" s="2" t="n">
        <v>1000</v>
      </c>
      <c r="J542" s="4" t="n">
        <f aca="false">IFERROR(E542*I542/D542,"")</f>
        <v>671.059857221307</v>
      </c>
      <c r="K542" s="5" t="n">
        <f aca="false">IFERROR((J542-G542)/G542,"")</f>
        <v>8.92059930059167E-005</v>
      </c>
      <c r="L542" s="2" t="str">
        <f aca="false">IF(K542="","",IF(ABS(K542)&gt;0.05,"CHECK","OK"))</f>
        <v>OK</v>
      </c>
    </row>
    <row r="543" customFormat="false" ht="15" hidden="false" customHeight="false" outlineLevel="0" collapsed="false">
      <c r="A543" s="2" t="s">
        <v>37</v>
      </c>
      <c r="B543" s="2" t="n">
        <v>1985</v>
      </c>
      <c r="C543" s="2" t="s">
        <v>84</v>
      </c>
      <c r="D543" s="3" t="n">
        <v>78970</v>
      </c>
      <c r="E543" s="3" t="n">
        <v>36680</v>
      </c>
      <c r="F543" s="2" t="s">
        <v>14</v>
      </c>
      <c r="G543" s="3" t="n">
        <v>464</v>
      </c>
      <c r="H543" s="2" t="s">
        <v>15</v>
      </c>
      <c r="I543" s="2" t="n">
        <v>1000</v>
      </c>
      <c r="J543" s="4" t="n">
        <f aca="false">IFERROR(E543*I543/D543,"")</f>
        <v>464.480182347727</v>
      </c>
      <c r="K543" s="5" t="n">
        <f aca="false">IFERROR((J543-G543)/G543,"")</f>
        <v>0.00103487574941166</v>
      </c>
      <c r="L543" s="2" t="str">
        <f aca="false">IF(K543="","",IF(ABS(K543)&gt;0.05,"CHECK","OK"))</f>
        <v>OK</v>
      </c>
    </row>
    <row r="544" customFormat="false" ht="15" hidden="false" customHeight="false" outlineLevel="0" collapsed="false">
      <c r="A544" s="2" t="s">
        <v>37</v>
      </c>
      <c r="B544" s="2" t="n">
        <v>1985</v>
      </c>
      <c r="C544" s="2" t="s">
        <v>85</v>
      </c>
      <c r="D544" s="3" t="n">
        <v>208213</v>
      </c>
      <c r="E544" s="3" t="n">
        <v>91710</v>
      </c>
      <c r="F544" s="2" t="s">
        <v>14</v>
      </c>
      <c r="G544" s="3" t="n">
        <v>440</v>
      </c>
      <c r="H544" s="2" t="s">
        <v>15</v>
      </c>
      <c r="I544" s="2" t="n">
        <v>1000</v>
      </c>
      <c r="J544" s="4" t="n">
        <f aca="false">IFERROR(E544*I544/D544,"")</f>
        <v>440.462411088645</v>
      </c>
      <c r="K544" s="5" t="n">
        <f aca="false">IFERROR((J544-G544)/G544,"")</f>
        <v>0.00105093429237451</v>
      </c>
      <c r="L544" s="2" t="str">
        <f aca="false">IF(K544="","",IF(ABS(K544)&gt;0.05,"CHECK","OK"))</f>
        <v>OK</v>
      </c>
    </row>
    <row r="545" customFormat="false" ht="15" hidden="false" customHeight="false" outlineLevel="0" collapsed="false">
      <c r="A545" s="2" t="s">
        <v>38</v>
      </c>
      <c r="B545" s="2" t="n">
        <v>1986</v>
      </c>
      <c r="C545" s="2" t="s">
        <v>83</v>
      </c>
      <c r="D545" s="3" t="n">
        <v>8200</v>
      </c>
      <c r="E545" s="3" t="n">
        <v>5420</v>
      </c>
      <c r="F545" s="2" t="s">
        <v>14</v>
      </c>
      <c r="G545" s="3" t="n">
        <v>661</v>
      </c>
      <c r="H545" s="2" t="s">
        <v>15</v>
      </c>
      <c r="I545" s="2" t="n">
        <v>1000</v>
      </c>
      <c r="J545" s="4" t="n">
        <f aca="false">IFERROR(E545*I545/D545,"")</f>
        <v>660.975609756098</v>
      </c>
      <c r="K545" s="5" t="n">
        <f aca="false">IFERROR((J545-G545)/G545,"")</f>
        <v>-3.68990074166669E-005</v>
      </c>
      <c r="L545" s="2" t="str">
        <f aca="false">IF(K545="","",IF(ABS(K545)&gt;0.05,"CHECK","OK"))</f>
        <v>OK</v>
      </c>
    </row>
    <row r="546" customFormat="false" ht="15" hidden="false" customHeight="false" outlineLevel="0" collapsed="false">
      <c r="A546" s="2" t="s">
        <v>38</v>
      </c>
      <c r="B546" s="2" t="n">
        <v>1986</v>
      </c>
      <c r="C546" s="2" t="s">
        <v>84</v>
      </c>
      <c r="D546" s="3" t="n">
        <v>76870</v>
      </c>
      <c r="E546" s="3" t="n">
        <v>31340</v>
      </c>
      <c r="F546" s="2" t="s">
        <v>14</v>
      </c>
      <c r="G546" s="3" t="n">
        <v>408</v>
      </c>
      <c r="H546" s="2" t="s">
        <v>15</v>
      </c>
      <c r="I546" s="2" t="n">
        <v>1000</v>
      </c>
      <c r="J546" s="4" t="n">
        <f aca="false">IFERROR(E546*I546/D546,"")</f>
        <v>407.701313906596</v>
      </c>
      <c r="K546" s="5" t="n">
        <f aca="false">IFERROR((J546-G546)/G546,"")</f>
        <v>-0.000732073758344254</v>
      </c>
      <c r="L546" s="2" t="str">
        <f aca="false">IF(K546="","",IF(ABS(K546)&gt;0.05,"CHECK","OK"))</f>
        <v>OK</v>
      </c>
    </row>
    <row r="547" customFormat="false" ht="15" hidden="false" customHeight="false" outlineLevel="0" collapsed="false">
      <c r="A547" s="2" t="s">
        <v>38</v>
      </c>
      <c r="B547" s="2" t="n">
        <v>1986</v>
      </c>
      <c r="C547" s="2" t="s">
        <v>85</v>
      </c>
      <c r="D547" s="3" t="n">
        <v>222658</v>
      </c>
      <c r="E547" s="3" t="n">
        <v>93770</v>
      </c>
      <c r="F547" s="2" t="s">
        <v>14</v>
      </c>
      <c r="G547" s="3" t="n">
        <v>421</v>
      </c>
      <c r="H547" s="2" t="s">
        <v>15</v>
      </c>
      <c r="I547" s="2" t="n">
        <v>1000</v>
      </c>
      <c r="J547" s="4" t="n">
        <f aca="false">IFERROR(E547*I547/D547,"")</f>
        <v>421.13914613443</v>
      </c>
      <c r="K547" s="5" t="n">
        <f aca="false">IFERROR((J547-G547)/G547,"")</f>
        <v>0.000330513383445142</v>
      </c>
      <c r="L547" s="2" t="str">
        <f aca="false">IF(K547="","",IF(ABS(K547)&gt;0.05,"CHECK","OK"))</f>
        <v>OK</v>
      </c>
    </row>
    <row r="548" customFormat="false" ht="15" hidden="false" customHeight="false" outlineLevel="0" collapsed="false">
      <c r="A548" s="2" t="s">
        <v>39</v>
      </c>
      <c r="B548" s="2" t="n">
        <v>1987</v>
      </c>
      <c r="C548" s="2" t="s">
        <v>83</v>
      </c>
      <c r="D548" s="3" t="n">
        <v>8094</v>
      </c>
      <c r="E548" s="3" t="n">
        <v>5500</v>
      </c>
      <c r="F548" s="2" t="s">
        <v>14</v>
      </c>
      <c r="G548" s="3" t="n">
        <v>680</v>
      </c>
      <c r="H548" s="2" t="s">
        <v>15</v>
      </c>
      <c r="I548" s="2" t="n">
        <v>1000</v>
      </c>
      <c r="J548" s="4" t="n">
        <f aca="false">IFERROR(E548*I548/D548,"")</f>
        <v>679.515690635038</v>
      </c>
      <c r="K548" s="5" t="n">
        <f aca="false">IFERROR((J548-G548)/G548,"")</f>
        <v>-0.000712219654355509</v>
      </c>
      <c r="L548" s="2" t="str">
        <f aca="false">IF(K548="","",IF(ABS(K548)&gt;0.05,"CHECK","OK"))</f>
        <v>OK</v>
      </c>
    </row>
    <row r="549" customFormat="false" ht="15" hidden="false" customHeight="false" outlineLevel="0" collapsed="false">
      <c r="A549" s="2" t="s">
        <v>39</v>
      </c>
      <c r="B549" s="2" t="n">
        <v>1987</v>
      </c>
      <c r="C549" s="2" t="s">
        <v>84</v>
      </c>
      <c r="D549" s="3" t="n">
        <v>80996</v>
      </c>
      <c r="E549" s="3" t="n">
        <v>32350</v>
      </c>
      <c r="F549" s="2" t="s">
        <v>14</v>
      </c>
      <c r="G549" s="3" t="n">
        <v>399</v>
      </c>
      <c r="H549" s="2" t="s">
        <v>15</v>
      </c>
      <c r="I549" s="2" t="n">
        <v>1000</v>
      </c>
      <c r="J549" s="4" t="n">
        <f aca="false">IFERROR(E549*I549/D549,"")</f>
        <v>399.402439626648</v>
      </c>
      <c r="K549" s="5" t="n">
        <f aca="false">IFERROR((J549-G549)/G549,"")</f>
        <v>0.00100862061816599</v>
      </c>
      <c r="L549" s="2" t="str">
        <f aca="false">IF(K549="","",IF(ABS(K549)&gt;0.05,"CHECK","OK"))</f>
        <v>OK</v>
      </c>
    </row>
    <row r="550" customFormat="false" ht="15" hidden="false" customHeight="false" outlineLevel="0" collapsed="false">
      <c r="A550" s="2" t="s">
        <v>39</v>
      </c>
      <c r="B550" s="2" t="n">
        <v>1987</v>
      </c>
      <c r="C550" s="2" t="s">
        <v>85</v>
      </c>
      <c r="D550" s="3" t="n">
        <v>226866</v>
      </c>
      <c r="E550" s="3" t="n">
        <v>107050</v>
      </c>
      <c r="F550" s="2" t="s">
        <v>14</v>
      </c>
      <c r="G550" s="3" t="n">
        <v>472</v>
      </c>
      <c r="H550" s="2" t="s">
        <v>15</v>
      </c>
      <c r="I550" s="2" t="n">
        <v>1000</v>
      </c>
      <c r="J550" s="4" t="n">
        <f aca="false">IFERROR(E550*I550/D550,"")</f>
        <v>471.864448617245</v>
      </c>
      <c r="K550" s="5" t="n">
        <f aca="false">IFERROR((J550-G550)/G550,"")</f>
        <v>-0.000287185132954569</v>
      </c>
      <c r="L550" s="2" t="str">
        <f aca="false">IF(K550="","",IF(ABS(K550)&gt;0.05,"CHECK","OK"))</f>
        <v>OK</v>
      </c>
    </row>
    <row r="551" customFormat="false" ht="15" hidden="false" customHeight="false" outlineLevel="0" collapsed="false">
      <c r="A551" s="2" t="s">
        <v>40</v>
      </c>
      <c r="B551" s="2" t="n">
        <v>1988</v>
      </c>
      <c r="C551" s="2" t="s">
        <v>83</v>
      </c>
      <c r="D551" s="3" t="n">
        <v>6984</v>
      </c>
      <c r="E551" s="3" t="n">
        <v>4790</v>
      </c>
      <c r="F551" s="2" t="s">
        <v>14</v>
      </c>
      <c r="G551" s="3" t="n">
        <v>686</v>
      </c>
      <c r="H551" s="2" t="s">
        <v>15</v>
      </c>
      <c r="I551" s="2" t="n">
        <v>1000</v>
      </c>
      <c r="J551" s="4" t="n">
        <f aca="false">IFERROR(E551*I551/D551,"")</f>
        <v>685.853379152348</v>
      </c>
      <c r="K551" s="5" t="n">
        <f aca="false">IFERROR((J551-G551)/G551,"")</f>
        <v>-0.000213733014069643</v>
      </c>
      <c r="L551" s="2" t="str">
        <f aca="false">IF(K551="","",IF(ABS(K551)&gt;0.05,"CHECK","OK"))</f>
        <v>OK</v>
      </c>
    </row>
    <row r="552" customFormat="false" ht="15" hidden="false" customHeight="false" outlineLevel="0" collapsed="false">
      <c r="A552" s="2" t="s">
        <v>40</v>
      </c>
      <c r="B552" s="2" t="n">
        <v>1988</v>
      </c>
      <c r="C552" s="2" t="s">
        <v>84</v>
      </c>
      <c r="D552" s="3" t="n">
        <v>95815</v>
      </c>
      <c r="E552" s="3" t="n">
        <v>38320</v>
      </c>
      <c r="F552" s="2" t="s">
        <v>14</v>
      </c>
      <c r="G552" s="3" t="n">
        <v>400</v>
      </c>
      <c r="H552" s="2" t="s">
        <v>15</v>
      </c>
      <c r="I552" s="2" t="n">
        <v>1000</v>
      </c>
      <c r="J552" s="4" t="n">
        <f aca="false">IFERROR(E552*I552/D552,"")</f>
        <v>399.93737932474</v>
      </c>
      <c r="K552" s="5" t="n">
        <f aca="false">IFERROR((J552-G552)/G552,"")</f>
        <v>-0.000156551688149023</v>
      </c>
      <c r="L552" s="2" t="str">
        <f aca="false">IF(K552="","",IF(ABS(K552)&gt;0.05,"CHECK","OK"))</f>
        <v>OK</v>
      </c>
    </row>
    <row r="553" customFormat="false" ht="15" hidden="false" customHeight="false" outlineLevel="0" collapsed="false">
      <c r="A553" s="2" t="s">
        <v>40</v>
      </c>
      <c r="B553" s="2" t="n">
        <v>1988</v>
      </c>
      <c r="C553" s="2" t="s">
        <v>85</v>
      </c>
      <c r="D553" s="3" t="n">
        <v>237677</v>
      </c>
      <c r="E553" s="3" t="n">
        <v>97350</v>
      </c>
      <c r="F553" s="2" t="s">
        <v>14</v>
      </c>
      <c r="G553" s="3" t="n">
        <v>410</v>
      </c>
      <c r="H553" s="2" t="s">
        <v>15</v>
      </c>
      <c r="I553" s="2" t="n">
        <v>1000</v>
      </c>
      <c r="J553" s="4" t="n">
        <f aca="false">IFERROR(E553*I553/D553,"")</f>
        <v>409.589484889156</v>
      </c>
      <c r="K553" s="5" t="n">
        <f aca="false">IFERROR((J553-G553)/G553,"")</f>
        <v>-0.00100125636791154</v>
      </c>
      <c r="L553" s="2" t="str">
        <f aca="false">IF(K553="","",IF(ABS(K553)&gt;0.05,"CHECK","OK"))</f>
        <v>OK</v>
      </c>
    </row>
    <row r="554" customFormat="false" ht="15" hidden="false" customHeight="false" outlineLevel="0" collapsed="false">
      <c r="A554" s="2" t="s">
        <v>41</v>
      </c>
      <c r="B554" s="2" t="n">
        <v>1989</v>
      </c>
      <c r="C554" s="2" t="s">
        <v>83</v>
      </c>
      <c r="D554" s="3" t="n">
        <v>5222</v>
      </c>
      <c r="E554" s="3" t="n">
        <v>3420</v>
      </c>
      <c r="F554" s="2" t="s">
        <v>14</v>
      </c>
      <c r="G554" s="3" t="n">
        <v>655</v>
      </c>
      <c r="H554" s="2" t="s">
        <v>15</v>
      </c>
      <c r="I554" s="2" t="n">
        <v>1000</v>
      </c>
      <c r="J554" s="4" t="n">
        <f aca="false">IFERROR(E554*I554/D554,"")</f>
        <v>654.921486020682</v>
      </c>
      <c r="K554" s="5" t="n">
        <f aca="false">IFERROR((J554-G554)/G554,"")</f>
        <v>-0.000119868670714878</v>
      </c>
      <c r="L554" s="2" t="str">
        <f aca="false">IF(K554="","",IF(ABS(K554)&gt;0.05,"CHECK","OK"))</f>
        <v>OK</v>
      </c>
    </row>
    <row r="555" customFormat="false" ht="15" hidden="false" customHeight="false" outlineLevel="0" collapsed="false">
      <c r="A555" s="2" t="s">
        <v>41</v>
      </c>
      <c r="B555" s="2" t="n">
        <v>1989</v>
      </c>
      <c r="C555" s="2" t="s">
        <v>84</v>
      </c>
      <c r="D555" s="3" t="n">
        <v>131003</v>
      </c>
      <c r="E555" s="3" t="n">
        <v>54730</v>
      </c>
      <c r="F555" s="2" t="s">
        <v>14</v>
      </c>
      <c r="G555" s="3" t="n">
        <v>418</v>
      </c>
      <c r="H555" s="2" t="s">
        <v>15</v>
      </c>
      <c r="I555" s="2" t="n">
        <v>1000</v>
      </c>
      <c r="J555" s="4" t="n">
        <f aca="false">IFERROR(E555*I555/D555,"")</f>
        <v>417.776692136821</v>
      </c>
      <c r="K555" s="5" t="n">
        <f aca="false">IFERROR((J555-G555)/G555,"")</f>
        <v>-0.000534229337748129</v>
      </c>
      <c r="L555" s="2" t="str">
        <f aca="false">IF(K555="","",IF(ABS(K555)&gt;0.05,"CHECK","OK"))</f>
        <v>OK</v>
      </c>
    </row>
    <row r="556" customFormat="false" ht="15" hidden="false" customHeight="false" outlineLevel="0" collapsed="false">
      <c r="A556" s="2" t="s">
        <v>41</v>
      </c>
      <c r="B556" s="2" t="n">
        <v>1989</v>
      </c>
      <c r="C556" s="2" t="s">
        <v>85</v>
      </c>
      <c r="D556" s="3" t="n">
        <v>335461</v>
      </c>
      <c r="E556" s="3" t="n">
        <v>142960</v>
      </c>
      <c r="F556" s="2" t="s">
        <v>14</v>
      </c>
      <c r="G556" s="3" t="n">
        <v>426</v>
      </c>
      <c r="H556" s="2" t="s">
        <v>15</v>
      </c>
      <c r="I556" s="2" t="n">
        <v>1000</v>
      </c>
      <c r="J556" s="4" t="n">
        <f aca="false">IFERROR(E556*I556/D556,"")</f>
        <v>426.159821857086</v>
      </c>
      <c r="K556" s="5" t="n">
        <f aca="false">IFERROR((J556-G556)/G556,"")</f>
        <v>0.000375168678606171</v>
      </c>
      <c r="L556" s="2" t="str">
        <f aca="false">IF(K556="","",IF(ABS(K556)&gt;0.05,"CHECK","OK"))</f>
        <v>OK</v>
      </c>
    </row>
    <row r="557" customFormat="false" ht="15" hidden="false" customHeight="false" outlineLevel="0" collapsed="false">
      <c r="A557" s="2" t="s">
        <v>42</v>
      </c>
      <c r="B557" s="2" t="n">
        <v>1990</v>
      </c>
      <c r="C557" s="2" t="s">
        <v>83</v>
      </c>
      <c r="D557" s="3" t="n">
        <v>9940</v>
      </c>
      <c r="E557" s="3" t="n">
        <v>6460</v>
      </c>
      <c r="F557" s="2" t="s">
        <v>14</v>
      </c>
      <c r="G557" s="3" t="n">
        <v>650</v>
      </c>
      <c r="H557" s="2" t="s">
        <v>15</v>
      </c>
      <c r="I557" s="2" t="n">
        <v>1000</v>
      </c>
      <c r="J557" s="4" t="n">
        <f aca="false">IFERROR(E557*I557/D557,"")</f>
        <v>649.89939637827</v>
      </c>
      <c r="K557" s="5" t="n">
        <f aca="false">IFERROR((J557-G557)/G557,"")</f>
        <v>-0.000154774802662045</v>
      </c>
      <c r="L557" s="2" t="str">
        <f aca="false">IF(K557="","",IF(ABS(K557)&gt;0.05,"CHECK","OK"))</f>
        <v>OK</v>
      </c>
    </row>
    <row r="558" customFormat="false" ht="15" hidden="false" customHeight="false" outlineLevel="0" collapsed="false">
      <c r="A558" s="2" t="s">
        <v>42</v>
      </c>
      <c r="B558" s="2" t="n">
        <v>1990</v>
      </c>
      <c r="C558" s="2" t="s">
        <v>84</v>
      </c>
      <c r="D558" s="3" t="n">
        <v>141243</v>
      </c>
      <c r="E558" s="3" t="n">
        <v>65400</v>
      </c>
      <c r="F558" s="2" t="s">
        <v>14</v>
      </c>
      <c r="G558" s="3" t="n">
        <v>466</v>
      </c>
      <c r="H558" s="2" t="s">
        <v>15</v>
      </c>
      <c r="I558" s="2" t="n">
        <v>1000</v>
      </c>
      <c r="J558" s="4" t="n">
        <f aca="false">IFERROR(E558*I558/D558,"")</f>
        <v>463.03179626601</v>
      </c>
      <c r="K558" s="5" t="n">
        <f aca="false">IFERROR((J558-G558)/G558,"")</f>
        <v>-0.0063695359098506</v>
      </c>
      <c r="L558" s="2" t="str">
        <f aca="false">IF(K558="","",IF(ABS(K558)&gt;0.05,"CHECK","OK"))</f>
        <v>OK</v>
      </c>
    </row>
    <row r="559" customFormat="false" ht="15" hidden="false" customHeight="false" outlineLevel="0" collapsed="false">
      <c r="A559" s="2" t="s">
        <v>42</v>
      </c>
      <c r="B559" s="2" t="n">
        <v>1990</v>
      </c>
      <c r="C559" s="2" t="s">
        <v>85</v>
      </c>
      <c r="D559" s="3" t="n">
        <v>319306</v>
      </c>
      <c r="E559" s="3" t="n">
        <v>134990</v>
      </c>
      <c r="F559" s="2" t="s">
        <v>14</v>
      </c>
      <c r="G559" s="3" t="n">
        <v>423</v>
      </c>
      <c r="H559" s="2" t="s">
        <v>15</v>
      </c>
      <c r="I559" s="2" t="n">
        <v>1000</v>
      </c>
      <c r="J559" s="4" t="n">
        <f aca="false">IFERROR(E559*I559/D559,"")</f>
        <v>422.760612077443</v>
      </c>
      <c r="K559" s="5" t="n">
        <f aca="false">IFERROR((J559-G559)/G559,"")</f>
        <v>-0.000565928894933941</v>
      </c>
      <c r="L559" s="2" t="str">
        <f aca="false">IF(K559="","",IF(ABS(K559)&gt;0.05,"CHECK","OK"))</f>
        <v>OK</v>
      </c>
    </row>
    <row r="560" customFormat="false" ht="15" hidden="false" customHeight="false" outlineLevel="0" collapsed="false">
      <c r="A560" s="2" t="s">
        <v>43</v>
      </c>
      <c r="B560" s="2" t="n">
        <v>1991</v>
      </c>
      <c r="C560" s="2" t="s">
        <v>83</v>
      </c>
      <c r="D560" s="3" t="n">
        <v>4626</v>
      </c>
      <c r="E560" s="3" t="n">
        <v>2690</v>
      </c>
      <c r="F560" s="2" t="s">
        <v>14</v>
      </c>
      <c r="G560" s="3" t="n">
        <v>581</v>
      </c>
      <c r="H560" s="2" t="s">
        <v>15</v>
      </c>
      <c r="I560" s="2" t="n">
        <v>1000</v>
      </c>
      <c r="J560" s="4" t="n">
        <f aca="false">IFERROR(E560*I560/D560,"")</f>
        <v>581.49589277994</v>
      </c>
      <c r="K560" s="5" t="n">
        <f aca="false">IFERROR((J560-G560)/G560,"")</f>
        <v>0.000853515972357111</v>
      </c>
      <c r="L560" s="2" t="str">
        <f aca="false">IF(K560="","",IF(ABS(K560)&gt;0.05,"CHECK","OK"))</f>
        <v>OK</v>
      </c>
    </row>
    <row r="561" customFormat="false" ht="15" hidden="false" customHeight="false" outlineLevel="0" collapsed="false">
      <c r="A561" s="2" t="s">
        <v>43</v>
      </c>
      <c r="B561" s="2" t="n">
        <v>1991</v>
      </c>
      <c r="C561" s="2" t="s">
        <v>84</v>
      </c>
      <c r="D561" s="3" t="n">
        <v>136906</v>
      </c>
      <c r="E561" s="3" t="n">
        <v>63940</v>
      </c>
      <c r="F561" s="2" t="s">
        <v>14</v>
      </c>
      <c r="G561" s="3" t="n">
        <v>467</v>
      </c>
      <c r="H561" s="2" t="s">
        <v>15</v>
      </c>
      <c r="I561" s="2" t="n">
        <v>1000</v>
      </c>
      <c r="J561" s="4" t="n">
        <f aca="false">IFERROR(E561*I561/D561,"")</f>
        <v>467.035776372109</v>
      </c>
      <c r="K561" s="5" t="n">
        <f aca="false">IFERROR((J561-G561)/G561,"")</f>
        <v>7.66089338530051E-005</v>
      </c>
      <c r="L561" s="2" t="str">
        <f aca="false">IF(K561="","",IF(ABS(K561)&gt;0.05,"CHECK","OK"))</f>
        <v>OK</v>
      </c>
    </row>
    <row r="562" customFormat="false" ht="15" hidden="false" customHeight="false" outlineLevel="0" collapsed="false">
      <c r="A562" s="2" t="s">
        <v>43</v>
      </c>
      <c r="B562" s="2" t="n">
        <v>1991</v>
      </c>
      <c r="C562" s="2" t="s">
        <v>85</v>
      </c>
      <c r="D562" s="3" t="n">
        <v>293434</v>
      </c>
      <c r="E562" s="3" t="n">
        <v>147560</v>
      </c>
      <c r="F562" s="2" t="s">
        <v>14</v>
      </c>
      <c r="G562" s="3" t="n">
        <v>503</v>
      </c>
      <c r="H562" s="2" t="s">
        <v>15</v>
      </c>
      <c r="I562" s="2" t="n">
        <v>1000</v>
      </c>
      <c r="J562" s="4" t="n">
        <f aca="false">IFERROR(E562*I562/D562,"")</f>
        <v>502.872877716965</v>
      </c>
      <c r="K562" s="5" t="n">
        <f aca="false">IFERROR((J562-G562)/G562,"")</f>
        <v>-0.000252728196888032</v>
      </c>
      <c r="L562" s="2" t="str">
        <f aca="false">IF(K562="","",IF(ABS(K562)&gt;0.05,"CHECK","OK"))</f>
        <v>OK</v>
      </c>
    </row>
    <row r="563" customFormat="false" ht="15" hidden="false" customHeight="false" outlineLevel="0" collapsed="false">
      <c r="A563" s="2" t="s">
        <v>44</v>
      </c>
      <c r="B563" s="2" t="n">
        <v>1992</v>
      </c>
      <c r="C563" s="2" t="s">
        <v>83</v>
      </c>
      <c r="D563" s="3" t="n">
        <v>6644</v>
      </c>
      <c r="E563" s="3" t="n">
        <v>4170</v>
      </c>
      <c r="F563" s="2" t="s">
        <v>14</v>
      </c>
      <c r="G563" s="3" t="n">
        <v>628</v>
      </c>
      <c r="H563" s="2" t="s">
        <v>15</v>
      </c>
      <c r="I563" s="2" t="n">
        <v>1000</v>
      </c>
      <c r="J563" s="4" t="n">
        <f aca="false">IFERROR(E563*I563/D563,"")</f>
        <v>627.633955448525</v>
      </c>
      <c r="K563" s="5" t="n">
        <f aca="false">IFERROR((J563-G563)/G563,"")</f>
        <v>-0.000582873489609962</v>
      </c>
      <c r="L563" s="2" t="str">
        <f aca="false">IF(K563="","",IF(ABS(K563)&gt;0.05,"CHECK","OK"))</f>
        <v>OK</v>
      </c>
    </row>
    <row r="564" customFormat="false" ht="15" hidden="false" customHeight="false" outlineLevel="0" collapsed="false">
      <c r="A564" s="2" t="s">
        <v>44</v>
      </c>
      <c r="B564" s="2" t="n">
        <v>1992</v>
      </c>
      <c r="C564" s="2" t="s">
        <v>84</v>
      </c>
      <c r="D564" s="3" t="n">
        <v>123361</v>
      </c>
      <c r="E564" s="3" t="n">
        <v>56260</v>
      </c>
      <c r="F564" s="2" t="s">
        <v>14</v>
      </c>
      <c r="G564" s="3" t="n">
        <v>456</v>
      </c>
      <c r="H564" s="2" t="s">
        <v>15</v>
      </c>
      <c r="I564" s="2" t="n">
        <v>1000</v>
      </c>
      <c r="J564" s="4" t="n">
        <f aca="false">IFERROR(E564*I564/D564,"")</f>
        <v>456.059856842924</v>
      </c>
      <c r="K564" s="5" t="n">
        <f aca="false">IFERROR((J564-G564)/G564,"")</f>
        <v>0.000131265006413229</v>
      </c>
      <c r="L564" s="2" t="str">
        <f aca="false">IF(K564="","",IF(ABS(K564)&gt;0.05,"CHECK","OK"))</f>
        <v>OK</v>
      </c>
    </row>
    <row r="565" customFormat="false" ht="15" hidden="false" customHeight="false" outlineLevel="0" collapsed="false">
      <c r="A565" s="2" t="s">
        <v>44</v>
      </c>
      <c r="B565" s="2" t="n">
        <v>1992</v>
      </c>
      <c r="C565" s="2" t="s">
        <v>85</v>
      </c>
      <c r="D565" s="3" t="n">
        <v>267771</v>
      </c>
      <c r="E565" s="3" t="n">
        <v>139200</v>
      </c>
      <c r="F565" s="2" t="s">
        <v>14</v>
      </c>
      <c r="G565" s="3" t="n">
        <v>520</v>
      </c>
      <c r="H565" s="2" t="s">
        <v>15</v>
      </c>
      <c r="I565" s="2" t="n">
        <v>1000</v>
      </c>
      <c r="J565" s="4" t="n">
        <f aca="false">IFERROR(E565*I565/D565,"")</f>
        <v>519.847182854006</v>
      </c>
      <c r="K565" s="5" t="n">
        <f aca="false">IFERROR((J565-G565)/G565,"")</f>
        <v>-0.000293879126911852</v>
      </c>
      <c r="L565" s="2" t="str">
        <f aca="false">IF(K565="","",IF(ABS(K565)&gt;0.05,"CHECK","OK"))</f>
        <v>OK</v>
      </c>
    </row>
    <row r="566" customFormat="false" ht="15" hidden="false" customHeight="false" outlineLevel="0" collapsed="false">
      <c r="A566" s="2" t="s">
        <v>45</v>
      </c>
      <c r="B566" s="2" t="n">
        <v>1993</v>
      </c>
      <c r="C566" s="2" t="s">
        <v>83</v>
      </c>
      <c r="D566" s="3" t="n">
        <v>9764</v>
      </c>
      <c r="E566" s="3" t="n">
        <v>6770</v>
      </c>
      <c r="F566" s="2" t="s">
        <v>14</v>
      </c>
      <c r="G566" s="3" t="n">
        <v>693</v>
      </c>
      <c r="H566" s="2" t="s">
        <v>15</v>
      </c>
      <c r="I566" s="2" t="n">
        <v>1000</v>
      </c>
      <c r="J566" s="4" t="n">
        <f aca="false">IFERROR(E566*I566/D566,"")</f>
        <v>693.363375665711</v>
      </c>
      <c r="K566" s="5" t="n">
        <f aca="false">IFERROR((J566-G566)/G566,"")</f>
        <v>0.000524351609972302</v>
      </c>
      <c r="L566" s="2" t="str">
        <f aca="false">IF(K566="","",IF(ABS(K566)&gt;0.05,"CHECK","OK"))</f>
        <v>OK</v>
      </c>
    </row>
    <row r="567" customFormat="false" ht="15" hidden="false" customHeight="false" outlineLevel="0" collapsed="false">
      <c r="A567" s="2" t="s">
        <v>45</v>
      </c>
      <c r="B567" s="2" t="n">
        <v>1993</v>
      </c>
      <c r="C567" s="2" t="s">
        <v>84</v>
      </c>
      <c r="D567" s="3" t="n">
        <v>105522</v>
      </c>
      <c r="E567" s="3" t="n">
        <v>41280</v>
      </c>
      <c r="F567" s="2" t="s">
        <v>14</v>
      </c>
      <c r="G567" s="3" t="n">
        <v>391</v>
      </c>
      <c r="H567" s="2" t="s">
        <v>15</v>
      </c>
      <c r="I567" s="2" t="n">
        <v>1000</v>
      </c>
      <c r="J567" s="4" t="n">
        <f aca="false">IFERROR(E567*I567/D567,"")</f>
        <v>391.19804400978</v>
      </c>
      <c r="K567" s="5" t="n">
        <f aca="false">IFERROR((J567-G567)/G567,"")</f>
        <v>0.000506506418874549</v>
      </c>
      <c r="L567" s="2" t="str">
        <f aca="false">IF(K567="","",IF(ABS(K567)&gt;0.05,"CHECK","OK"))</f>
        <v>OK</v>
      </c>
    </row>
    <row r="568" customFormat="false" ht="15" hidden="false" customHeight="false" outlineLevel="0" collapsed="false">
      <c r="A568" s="2" t="s">
        <v>45</v>
      </c>
      <c r="B568" s="2" t="n">
        <v>1993</v>
      </c>
      <c r="C568" s="2" t="s">
        <v>85</v>
      </c>
      <c r="D568" s="3" t="n">
        <v>216306</v>
      </c>
      <c r="E568" s="3" t="n">
        <v>90630</v>
      </c>
      <c r="F568" s="2" t="s">
        <v>14</v>
      </c>
      <c r="G568" s="3" t="n">
        <v>419</v>
      </c>
      <c r="H568" s="2" t="s">
        <v>15</v>
      </c>
      <c r="I568" s="2" t="n">
        <v>1000</v>
      </c>
      <c r="J568" s="4" t="n">
        <f aca="false">IFERROR(E568*I568/D568,"")</f>
        <v>418.989764500291</v>
      </c>
      <c r="K568" s="5" t="n">
        <f aca="false">IFERROR((J568-G568)/G568,"")</f>
        <v>-2.44284002595607E-005</v>
      </c>
      <c r="L568" s="2" t="str">
        <f aca="false">IF(K568="","",IF(ABS(K568)&gt;0.05,"CHECK","OK"))</f>
        <v>OK</v>
      </c>
    </row>
    <row r="569" customFormat="false" ht="15" hidden="false" customHeight="false" outlineLevel="0" collapsed="false">
      <c r="A569" s="2" t="s">
        <v>46</v>
      </c>
      <c r="B569" s="2" t="n">
        <v>1994</v>
      </c>
      <c r="C569" s="2" t="s">
        <v>83</v>
      </c>
      <c r="D569" s="3" t="n">
        <v>9585</v>
      </c>
      <c r="E569" s="3" t="n">
        <v>6400</v>
      </c>
      <c r="F569" s="2" t="s">
        <v>14</v>
      </c>
      <c r="G569" s="3" t="n">
        <v>660</v>
      </c>
      <c r="H569" s="2" t="s">
        <v>15</v>
      </c>
      <c r="I569" s="2" t="n">
        <v>1000</v>
      </c>
      <c r="J569" s="4" t="n">
        <f aca="false">IFERROR(E569*I569/D569,"")</f>
        <v>667.709963484611</v>
      </c>
      <c r="K569" s="5" t="n">
        <f aca="false">IFERROR((J569-G569)/G569,"")</f>
        <v>0.0116817628554719</v>
      </c>
      <c r="L569" s="2" t="str">
        <f aca="false">IF(K569="","",IF(ABS(K569)&gt;0.05,"CHECK","OK"))</f>
        <v>OK</v>
      </c>
    </row>
    <row r="570" customFormat="false" ht="15" hidden="false" customHeight="false" outlineLevel="0" collapsed="false">
      <c r="A570" s="2" t="s">
        <v>46</v>
      </c>
      <c r="B570" s="2" t="n">
        <v>1994</v>
      </c>
      <c r="C570" s="2" t="s">
        <v>84</v>
      </c>
      <c r="D570" s="3" t="n">
        <v>107897</v>
      </c>
      <c r="E570" s="3" t="n">
        <v>50440</v>
      </c>
      <c r="F570" s="2" t="s">
        <v>14</v>
      </c>
      <c r="G570" s="3" t="n">
        <v>467</v>
      </c>
      <c r="H570" s="2" t="s">
        <v>15</v>
      </c>
      <c r="I570" s="2" t="n">
        <v>1000</v>
      </c>
      <c r="J570" s="4" t="n">
        <f aca="false">IFERROR(E570*I570/D570,"")</f>
        <v>467.48287718843</v>
      </c>
      <c r="K570" s="5" t="n">
        <f aca="false">IFERROR((J570-G570)/G570,"")</f>
        <v>0.00103399826216212</v>
      </c>
      <c r="L570" s="2" t="str">
        <f aca="false">IF(K570="","",IF(ABS(K570)&gt;0.05,"CHECK","OK"))</f>
        <v>OK</v>
      </c>
    </row>
    <row r="571" customFormat="false" ht="15" hidden="false" customHeight="false" outlineLevel="0" collapsed="false">
      <c r="A571" s="2" t="s">
        <v>46</v>
      </c>
      <c r="B571" s="2" t="n">
        <v>1994</v>
      </c>
      <c r="C571" s="2" t="s">
        <v>85</v>
      </c>
      <c r="D571" s="3" t="n">
        <v>234444</v>
      </c>
      <c r="E571" s="3" t="n">
        <v>122720</v>
      </c>
      <c r="F571" s="2" t="s">
        <v>14</v>
      </c>
      <c r="G571" s="3" t="n">
        <v>523</v>
      </c>
      <c r="H571" s="2" t="s">
        <v>15</v>
      </c>
      <c r="I571" s="2" t="n">
        <v>1000</v>
      </c>
      <c r="J571" s="4" t="n">
        <f aca="false">IFERROR(E571*I571/D571,"")</f>
        <v>523.45122929143</v>
      </c>
      <c r="K571" s="5" t="n">
        <f aca="false">IFERROR((J571-G571)/G571,"")</f>
        <v>0.00086277111172078</v>
      </c>
      <c r="L571" s="2" t="str">
        <f aca="false">IF(K571="","",IF(ABS(K571)&gt;0.05,"CHECK","OK"))</f>
        <v>OK</v>
      </c>
    </row>
    <row r="572" customFormat="false" ht="15" hidden="false" customHeight="false" outlineLevel="0" collapsed="false">
      <c r="A572" s="2" t="s">
        <v>47</v>
      </c>
      <c r="B572" s="2" t="n">
        <v>1995</v>
      </c>
      <c r="C572" s="2" t="s">
        <v>83</v>
      </c>
      <c r="D572" s="3" t="n">
        <v>8466</v>
      </c>
      <c r="E572" s="3" t="n">
        <v>5590</v>
      </c>
      <c r="F572" s="2" t="s">
        <v>14</v>
      </c>
      <c r="G572" s="3" t="n">
        <v>660</v>
      </c>
      <c r="H572" s="2" t="s">
        <v>15</v>
      </c>
      <c r="I572" s="2" t="n">
        <v>1000</v>
      </c>
      <c r="J572" s="4" t="n">
        <f aca="false">IFERROR(E572*I572/D572,"")</f>
        <v>660.28821167021</v>
      </c>
      <c r="K572" s="5" t="n">
        <f aca="false">IFERROR((J572-G572)/G572,"")</f>
        <v>0.000436684348803359</v>
      </c>
      <c r="L572" s="2" t="str">
        <f aca="false">IF(K572="","",IF(ABS(K572)&gt;0.05,"CHECK","OK"))</f>
        <v>OK</v>
      </c>
    </row>
    <row r="573" customFormat="false" ht="15" hidden="false" customHeight="false" outlineLevel="0" collapsed="false">
      <c r="A573" s="2" t="s">
        <v>47</v>
      </c>
      <c r="B573" s="2" t="n">
        <v>1995</v>
      </c>
      <c r="C573" s="2" t="s">
        <v>84</v>
      </c>
      <c r="D573" s="3" t="n">
        <v>93266</v>
      </c>
      <c r="E573" s="3" t="n">
        <v>35430</v>
      </c>
      <c r="F573" s="2" t="s">
        <v>14</v>
      </c>
      <c r="G573" s="3" t="n">
        <v>380</v>
      </c>
      <c r="H573" s="2" t="s">
        <v>15</v>
      </c>
      <c r="I573" s="2" t="n">
        <v>1000</v>
      </c>
      <c r="J573" s="4" t="n">
        <f aca="false">IFERROR(E573*I573/D573,"")</f>
        <v>379.881200008578</v>
      </c>
      <c r="K573" s="5" t="n">
        <f aca="false">IFERROR((J573-G573)/G573,"")</f>
        <v>-0.000312631556374754</v>
      </c>
      <c r="L573" s="2" t="str">
        <f aca="false">IF(K573="","",IF(ABS(K573)&gt;0.05,"CHECK","OK"))</f>
        <v>OK</v>
      </c>
    </row>
    <row r="574" customFormat="false" ht="15" hidden="false" customHeight="false" outlineLevel="0" collapsed="false">
      <c r="A574" s="2" t="s">
        <v>47</v>
      </c>
      <c r="B574" s="2" t="n">
        <v>1995</v>
      </c>
      <c r="C574" s="2" t="s">
        <v>85</v>
      </c>
      <c r="D574" s="3" t="n">
        <v>204387</v>
      </c>
      <c r="E574" s="3" t="n">
        <v>81490</v>
      </c>
      <c r="F574" s="2" t="s">
        <v>14</v>
      </c>
      <c r="G574" s="3" t="n">
        <v>399</v>
      </c>
      <c r="H574" s="2" t="s">
        <v>15</v>
      </c>
      <c r="I574" s="2" t="n">
        <v>1000</v>
      </c>
      <c r="J574" s="4" t="n">
        <f aca="false">IFERROR(E574*I574/D574,"")</f>
        <v>398.704418578481</v>
      </c>
      <c r="K574" s="5" t="n">
        <f aca="false">IFERROR((J574-G574)/G574,"")</f>
        <v>-0.000740805567716764</v>
      </c>
      <c r="L574" s="2" t="str">
        <f aca="false">IF(K574="","",IF(ABS(K574)&gt;0.05,"CHECK","OK"))</f>
        <v>OK</v>
      </c>
    </row>
    <row r="575" customFormat="false" ht="15" hidden="false" customHeight="false" outlineLevel="0" collapsed="false">
      <c r="A575" s="2" t="s">
        <v>48</v>
      </c>
      <c r="B575" s="2" t="n">
        <v>1996</v>
      </c>
      <c r="C575" s="2" t="s">
        <v>83</v>
      </c>
      <c r="D575" s="3" t="n">
        <v>7403</v>
      </c>
      <c r="E575" s="3" t="n">
        <v>5230</v>
      </c>
      <c r="F575" s="2" t="s">
        <v>14</v>
      </c>
      <c r="G575" s="3" t="n">
        <v>706</v>
      </c>
      <c r="H575" s="2" t="s">
        <v>15</v>
      </c>
      <c r="I575" s="2" t="n">
        <v>1000</v>
      </c>
      <c r="J575" s="4" t="n">
        <f aca="false">IFERROR(E575*I575/D575,"")</f>
        <v>706.470349858166</v>
      </c>
      <c r="K575" s="5" t="n">
        <f aca="false">IFERROR((J575-G575)/G575,"")</f>
        <v>0.000666217929413038</v>
      </c>
      <c r="L575" s="2" t="str">
        <f aca="false">IF(K575="","",IF(ABS(K575)&gt;0.05,"CHECK","OK"))</f>
        <v>OK</v>
      </c>
    </row>
    <row r="576" customFormat="false" ht="15" hidden="false" customHeight="false" outlineLevel="0" collapsed="false">
      <c r="A576" s="2" t="s">
        <v>48</v>
      </c>
      <c r="B576" s="2" t="n">
        <v>1996</v>
      </c>
      <c r="C576" s="2" t="s">
        <v>84</v>
      </c>
      <c r="D576" s="3" t="n">
        <v>107563</v>
      </c>
      <c r="E576" s="3" t="n">
        <v>43930</v>
      </c>
      <c r="F576" s="2" t="s">
        <v>14</v>
      </c>
      <c r="G576" s="3" t="n">
        <v>408</v>
      </c>
      <c r="H576" s="2" t="s">
        <v>15</v>
      </c>
      <c r="I576" s="2" t="n">
        <v>1000</v>
      </c>
      <c r="J576" s="4" t="n">
        <f aca="false">IFERROR(E576*I576/D576,"")</f>
        <v>408.411814471519</v>
      </c>
      <c r="K576" s="5" t="n">
        <f aca="false">IFERROR((J576-G576)/G576,"")</f>
        <v>0.0010093491948995</v>
      </c>
      <c r="L576" s="2" t="str">
        <f aca="false">IF(K576="","",IF(ABS(K576)&gt;0.05,"CHECK","OK"))</f>
        <v>OK</v>
      </c>
    </row>
    <row r="577" customFormat="false" ht="15" hidden="false" customHeight="false" outlineLevel="0" collapsed="false">
      <c r="A577" s="2" t="s">
        <v>48</v>
      </c>
      <c r="B577" s="2" t="n">
        <v>1996</v>
      </c>
      <c r="C577" s="2" t="s">
        <v>85</v>
      </c>
      <c r="D577" s="3" t="n">
        <v>204627</v>
      </c>
      <c r="E577" s="3" t="n">
        <v>75030</v>
      </c>
      <c r="F577" s="2" t="s">
        <v>14</v>
      </c>
      <c r="G577" s="3" t="n">
        <v>366</v>
      </c>
      <c r="H577" s="2" t="s">
        <v>15</v>
      </c>
      <c r="I577" s="2" t="n">
        <v>1000</v>
      </c>
      <c r="J577" s="4" t="n">
        <f aca="false">IFERROR(E577*I577/D577,"")</f>
        <v>366.66715536073</v>
      </c>
      <c r="K577" s="5" t="n">
        <f aca="false">IFERROR((J577-G577)/G577,"")</f>
        <v>0.00182282885445221</v>
      </c>
      <c r="L577" s="2" t="str">
        <f aca="false">IF(K577="","",IF(ABS(K577)&gt;0.05,"CHECK","OK"))</f>
        <v>OK</v>
      </c>
    </row>
    <row r="578" customFormat="false" ht="15" hidden="false" customHeight="false" outlineLevel="0" collapsed="false">
      <c r="A578" s="2" t="s">
        <v>49</v>
      </c>
      <c r="B578" s="2" t="n">
        <v>1997</v>
      </c>
      <c r="C578" s="2" t="s">
        <v>83</v>
      </c>
      <c r="D578" s="3" t="n">
        <v>6243</v>
      </c>
      <c r="E578" s="3" t="n">
        <v>4090</v>
      </c>
      <c r="F578" s="2" t="s">
        <v>14</v>
      </c>
      <c r="G578" s="3" t="n">
        <v>654</v>
      </c>
      <c r="H578" s="2" t="s">
        <v>15</v>
      </c>
      <c r="I578" s="2" t="n">
        <v>1000</v>
      </c>
      <c r="J578" s="4" t="n">
        <f aca="false">IFERROR(E578*I578/D578,"")</f>
        <v>655.133749799776</v>
      </c>
      <c r="K578" s="5" t="n">
        <f aca="false">IFERROR((J578-G578)/G578,"")</f>
        <v>0.00173356238497818</v>
      </c>
      <c r="L578" s="2" t="str">
        <f aca="false">IF(K578="","",IF(ABS(K578)&gt;0.05,"CHECK","OK"))</f>
        <v>OK</v>
      </c>
    </row>
    <row r="579" customFormat="false" ht="15" hidden="false" customHeight="false" outlineLevel="0" collapsed="false">
      <c r="A579" s="2" t="s">
        <v>49</v>
      </c>
      <c r="B579" s="2" t="n">
        <v>1997</v>
      </c>
      <c r="C579" s="2" t="s">
        <v>84</v>
      </c>
      <c r="D579" s="3" t="n">
        <v>107395</v>
      </c>
      <c r="E579" s="3" t="n">
        <v>38460</v>
      </c>
      <c r="F579" s="2" t="s">
        <v>14</v>
      </c>
      <c r="G579" s="3" t="n">
        <v>358</v>
      </c>
      <c r="H579" s="2" t="s">
        <v>15</v>
      </c>
      <c r="I579" s="2" t="n">
        <v>1000</v>
      </c>
      <c r="J579" s="4" t="n">
        <f aca="false">IFERROR(E579*I579/D579,"")</f>
        <v>358.117230783556</v>
      </c>
      <c r="K579" s="5" t="n">
        <f aca="false">IFERROR((J579-G579)/G579,"")</f>
        <v>0.000327460289262599</v>
      </c>
      <c r="L579" s="2" t="str">
        <f aca="false">IF(K579="","",IF(ABS(K579)&gt;0.05,"CHECK","OK"))</f>
        <v>OK</v>
      </c>
    </row>
    <row r="580" customFormat="false" ht="15" hidden="false" customHeight="false" outlineLevel="0" collapsed="false">
      <c r="A580" s="2" t="s">
        <v>49</v>
      </c>
      <c r="B580" s="2" t="n">
        <v>1997</v>
      </c>
      <c r="C580" s="2" t="s">
        <v>85</v>
      </c>
      <c r="D580" s="3" t="n">
        <v>218236</v>
      </c>
      <c r="E580" s="3" t="n">
        <v>101820</v>
      </c>
      <c r="F580" s="2" t="s">
        <v>14</v>
      </c>
      <c r="G580" s="3" t="n">
        <v>467</v>
      </c>
      <c r="H580" s="2" t="s">
        <v>15</v>
      </c>
      <c r="I580" s="2" t="n">
        <v>1000</v>
      </c>
      <c r="J580" s="4" t="n">
        <f aca="false">IFERROR(E580*I580/D580,"")</f>
        <v>466.55913781411</v>
      </c>
      <c r="K580" s="5" t="n">
        <f aca="false">IFERROR((J580-G580)/G580,"")</f>
        <v>-0.000944030376639237</v>
      </c>
      <c r="L580" s="2" t="str">
        <f aca="false">IF(K580="","",IF(ABS(K580)&gt;0.05,"CHECK","OK"))</f>
        <v>OK</v>
      </c>
    </row>
    <row r="581" customFormat="false" ht="15" hidden="false" customHeight="false" outlineLevel="0" collapsed="false">
      <c r="A581" s="2" t="s">
        <v>50</v>
      </c>
      <c r="B581" s="2" t="n">
        <v>1998</v>
      </c>
      <c r="C581" s="2" t="s">
        <v>83</v>
      </c>
      <c r="D581" s="3" t="n">
        <v>10145</v>
      </c>
      <c r="E581" s="3" t="n">
        <v>6280</v>
      </c>
      <c r="F581" s="2" t="s">
        <v>14</v>
      </c>
      <c r="G581" s="3" t="n">
        <v>619</v>
      </c>
      <c r="H581" s="2" t="s">
        <v>15</v>
      </c>
      <c r="I581" s="2" t="n">
        <v>1000</v>
      </c>
      <c r="J581" s="4" t="n">
        <f aca="false">IFERROR(E581*I581/D581,"")</f>
        <v>619.024149827501</v>
      </c>
      <c r="K581" s="5" t="n">
        <f aca="false">IFERROR((J581-G581)/G581,"")</f>
        <v>3.90142609066544E-005</v>
      </c>
      <c r="L581" s="2" t="str">
        <f aca="false">IF(K581="","",IF(ABS(K581)&gt;0.05,"CHECK","OK"))</f>
        <v>OK</v>
      </c>
    </row>
    <row r="582" customFormat="false" ht="15" hidden="false" customHeight="false" outlineLevel="0" collapsed="false">
      <c r="A582" s="2" t="s">
        <v>50</v>
      </c>
      <c r="B582" s="2" t="n">
        <v>1998</v>
      </c>
      <c r="C582" s="2" t="s">
        <v>84</v>
      </c>
      <c r="D582" s="3" t="n">
        <v>124277</v>
      </c>
      <c r="E582" s="3" t="n">
        <v>67470</v>
      </c>
      <c r="F582" s="2" t="s">
        <v>14</v>
      </c>
      <c r="G582" s="3" t="n">
        <v>543</v>
      </c>
      <c r="H582" s="2" t="s">
        <v>15</v>
      </c>
      <c r="I582" s="2" t="n">
        <v>1000</v>
      </c>
      <c r="J582" s="4" t="n">
        <f aca="false">IFERROR(E582*I582/D582,"")</f>
        <v>542.900134377238</v>
      </c>
      <c r="K582" s="5" t="n">
        <f aca="false">IFERROR((J582-G582)/G582,"")</f>
        <v>-0.000183914590722065</v>
      </c>
      <c r="L582" s="2" t="str">
        <f aca="false">IF(K582="","",IF(ABS(K582)&gt;0.05,"CHECK","OK"))</f>
        <v>OK</v>
      </c>
    </row>
    <row r="583" customFormat="false" ht="15" hidden="false" customHeight="false" outlineLevel="0" collapsed="false">
      <c r="A583" s="2" t="s">
        <v>50</v>
      </c>
      <c r="B583" s="2" t="n">
        <v>1998</v>
      </c>
      <c r="C583" s="2" t="s">
        <v>85</v>
      </c>
      <c r="D583" s="3" t="n">
        <v>226076</v>
      </c>
      <c r="E583" s="3" t="n">
        <v>117070</v>
      </c>
      <c r="F583" s="2" t="s">
        <v>14</v>
      </c>
      <c r="G583" s="3" t="n">
        <v>518</v>
      </c>
      <c r="H583" s="2" t="s">
        <v>15</v>
      </c>
      <c r="I583" s="2" t="n">
        <v>1000</v>
      </c>
      <c r="J583" s="4" t="n">
        <f aca="false">IFERROR(E583*I583/D583,"")</f>
        <v>517.834710451353</v>
      </c>
      <c r="K583" s="5" t="n">
        <f aca="false">IFERROR((J583-G583)/G583,"")</f>
        <v>-0.000319091792755532</v>
      </c>
      <c r="L583" s="2" t="str">
        <f aca="false">IF(K583="","",IF(ABS(K583)&gt;0.05,"CHECK","OK"))</f>
        <v>OK</v>
      </c>
    </row>
    <row r="584" customFormat="false" ht="15" hidden="false" customHeight="false" outlineLevel="0" collapsed="false">
      <c r="A584" s="2" t="s">
        <v>51</v>
      </c>
      <c r="B584" s="2" t="n">
        <v>1999</v>
      </c>
      <c r="C584" s="2" t="s">
        <v>83</v>
      </c>
      <c r="D584" s="3" t="n">
        <v>7825</v>
      </c>
      <c r="E584" s="3" t="n">
        <v>4950</v>
      </c>
      <c r="F584" s="2" t="s">
        <v>14</v>
      </c>
      <c r="G584" s="3" t="n">
        <v>633</v>
      </c>
      <c r="H584" s="2" t="s">
        <v>15</v>
      </c>
      <c r="I584" s="2" t="n">
        <v>1000</v>
      </c>
      <c r="J584" s="4" t="n">
        <f aca="false">IFERROR(E584*I584/D584,"")</f>
        <v>632.58785942492</v>
      </c>
      <c r="K584" s="5" t="n">
        <f aca="false">IFERROR((J584-G584)/G584,"")</f>
        <v>-0.000651090955892399</v>
      </c>
      <c r="L584" s="2" t="str">
        <f aca="false">IF(K584="","",IF(ABS(K584)&gt;0.05,"CHECK","OK"))</f>
        <v>OK</v>
      </c>
    </row>
    <row r="585" customFormat="false" ht="15" hidden="false" customHeight="false" outlineLevel="0" collapsed="false">
      <c r="A585" s="2" t="s">
        <v>51</v>
      </c>
      <c r="B585" s="2" t="n">
        <v>1999</v>
      </c>
      <c r="C585" s="2" t="s">
        <v>84</v>
      </c>
      <c r="D585" s="3" t="n">
        <v>129301</v>
      </c>
      <c r="E585" s="3" t="n">
        <v>60350</v>
      </c>
      <c r="F585" s="2" t="s">
        <v>14</v>
      </c>
      <c r="G585" s="3" t="n">
        <v>467</v>
      </c>
      <c r="H585" s="2" t="s">
        <v>15</v>
      </c>
      <c r="I585" s="2" t="n">
        <v>1000</v>
      </c>
      <c r="J585" s="4" t="n">
        <f aca="false">IFERROR(E585*I585/D585,"")</f>
        <v>466.740396439316</v>
      </c>
      <c r="K585" s="5" t="n">
        <f aca="false">IFERROR((J585-G585)/G585,"")</f>
        <v>-0.000555896275554632</v>
      </c>
      <c r="L585" s="2" t="str">
        <f aca="false">IF(K585="","",IF(ABS(K585)&gt;0.05,"CHECK","OK"))</f>
        <v>OK</v>
      </c>
    </row>
    <row r="586" customFormat="false" ht="15" hidden="false" customHeight="false" outlineLevel="0" collapsed="false">
      <c r="A586" s="2" t="s">
        <v>51</v>
      </c>
      <c r="B586" s="2" t="n">
        <v>1999</v>
      </c>
      <c r="C586" s="2" t="s">
        <v>85</v>
      </c>
      <c r="D586" s="3" t="n">
        <v>270180</v>
      </c>
      <c r="E586" s="3" t="n">
        <v>105120</v>
      </c>
      <c r="F586" s="2" t="s">
        <v>14</v>
      </c>
      <c r="G586" s="3" t="n">
        <v>389</v>
      </c>
      <c r="H586" s="2" t="s">
        <v>15</v>
      </c>
      <c r="I586" s="2" t="n">
        <v>1000</v>
      </c>
      <c r="J586" s="4" t="n">
        <f aca="false">IFERROR(E586*I586/D586,"")</f>
        <v>389.073950699534</v>
      </c>
      <c r="K586" s="5" t="n">
        <f aca="false">IFERROR((J586-G586)/G586,"")</f>
        <v>0.000190104626050561</v>
      </c>
      <c r="L586" s="2" t="str">
        <f aca="false">IF(K586="","",IF(ABS(K586)&gt;0.05,"CHECK","OK"))</f>
        <v>OK</v>
      </c>
    </row>
    <row r="587" customFormat="false" ht="15" hidden="false" customHeight="false" outlineLevel="0" collapsed="false">
      <c r="A587" s="2" t="s">
        <v>52</v>
      </c>
      <c r="B587" s="2" t="n">
        <v>2000</v>
      </c>
      <c r="C587" s="2" t="s">
        <v>83</v>
      </c>
      <c r="D587" s="3" t="n">
        <v>5705</v>
      </c>
      <c r="E587" s="3" t="n">
        <v>3636</v>
      </c>
      <c r="F587" s="2" t="s">
        <v>14</v>
      </c>
      <c r="G587" s="3" t="n">
        <v>637</v>
      </c>
      <c r="H587" s="2" t="s">
        <v>15</v>
      </c>
      <c r="I587" s="2" t="n">
        <v>1000</v>
      </c>
      <c r="J587" s="4" t="n">
        <f aca="false">IFERROR(E587*I587/D587,"")</f>
        <v>637.335670464505</v>
      </c>
      <c r="K587" s="5" t="n">
        <f aca="false">IFERROR((J587-G587)/G587,"")</f>
        <v>0.000526955203304241</v>
      </c>
      <c r="L587" s="2" t="str">
        <f aca="false">IF(K587="","",IF(ABS(K587)&gt;0.05,"CHECK","OK"))</f>
        <v>OK</v>
      </c>
    </row>
    <row r="588" customFormat="false" ht="15" hidden="false" customHeight="false" outlineLevel="0" collapsed="false">
      <c r="A588" s="2" t="s">
        <v>52</v>
      </c>
      <c r="B588" s="2" t="n">
        <v>2000</v>
      </c>
      <c r="C588" s="2" t="s">
        <v>84</v>
      </c>
      <c r="D588" s="3" t="n">
        <v>127439</v>
      </c>
      <c r="E588" s="3" t="n">
        <v>61550</v>
      </c>
      <c r="F588" s="2" t="s">
        <v>14</v>
      </c>
      <c r="G588" s="3" t="n">
        <v>483</v>
      </c>
      <c r="H588" s="2" t="s">
        <v>15</v>
      </c>
      <c r="I588" s="2" t="n">
        <v>1000</v>
      </c>
      <c r="J588" s="4" t="n">
        <f aca="false">IFERROR(E588*I588/D588,"")</f>
        <v>482.976168990654</v>
      </c>
      <c r="K588" s="5" t="n">
        <f aca="false">IFERROR((J588-G588)/G588,"")</f>
        <v>-4.93395638626422E-005</v>
      </c>
      <c r="L588" s="2" t="str">
        <f aca="false">IF(K588="","",IF(ABS(K588)&gt;0.05,"CHECK","OK"))</f>
        <v>OK</v>
      </c>
    </row>
    <row r="589" customFormat="false" ht="15" hidden="false" customHeight="false" outlineLevel="0" collapsed="false">
      <c r="A589" s="2" t="s">
        <v>52</v>
      </c>
      <c r="B589" s="2" t="n">
        <v>2000</v>
      </c>
      <c r="C589" s="2" t="s">
        <v>85</v>
      </c>
      <c r="D589" s="3" t="n">
        <v>275634</v>
      </c>
      <c r="E589" s="3" t="n">
        <v>132500</v>
      </c>
      <c r="F589" s="2" t="s">
        <v>14</v>
      </c>
      <c r="G589" s="3" t="n">
        <v>480</v>
      </c>
      <c r="H589" s="2" t="s">
        <v>15</v>
      </c>
      <c r="I589" s="2" t="n">
        <v>1000</v>
      </c>
      <c r="J589" s="4" t="n">
        <f aca="false">IFERROR(E589*I589/D589,"")</f>
        <v>480.709926932091</v>
      </c>
      <c r="K589" s="5" t="n">
        <f aca="false">IFERROR((J589-G589)/G589,"")</f>
        <v>0.00147901444185644</v>
      </c>
      <c r="L589" s="2" t="str">
        <f aca="false">IF(K589="","",IF(ABS(K589)&gt;0.05,"CHECK","OK"))</f>
        <v>OK</v>
      </c>
    </row>
    <row r="590" customFormat="false" ht="15" hidden="false" customHeight="false" outlineLevel="0" collapsed="false">
      <c r="A590" s="2" t="s">
        <v>53</v>
      </c>
      <c r="B590" s="2" t="n">
        <v>2001</v>
      </c>
      <c r="C590" s="2" t="s">
        <v>83</v>
      </c>
      <c r="D590" s="3" t="n">
        <v>7010</v>
      </c>
      <c r="E590" s="3" t="n">
        <v>4551</v>
      </c>
      <c r="F590" s="2" t="s">
        <v>14</v>
      </c>
      <c r="G590" s="3" t="n">
        <v>649</v>
      </c>
      <c r="H590" s="2" t="s">
        <v>15</v>
      </c>
      <c r="I590" s="2" t="n">
        <v>1000</v>
      </c>
      <c r="J590" s="4" t="n">
        <f aca="false">IFERROR(E590*I590/D590,"")</f>
        <v>649.215406562054</v>
      </c>
      <c r="K590" s="5" t="n">
        <f aca="false">IFERROR((J590-G590)/G590,"")</f>
        <v>0.000331905334444109</v>
      </c>
      <c r="L590" s="2" t="str">
        <f aca="false">IF(K590="","",IF(ABS(K590)&gt;0.05,"CHECK","OK"))</f>
        <v>OK</v>
      </c>
    </row>
    <row r="591" customFormat="false" ht="15" hidden="false" customHeight="false" outlineLevel="0" collapsed="false">
      <c r="A591" s="2" t="s">
        <v>53</v>
      </c>
      <c r="B591" s="2" t="n">
        <v>2001</v>
      </c>
      <c r="C591" s="2" t="s">
        <v>84</v>
      </c>
      <c r="D591" s="3" t="n">
        <v>128995</v>
      </c>
      <c r="E591" s="3" t="n">
        <v>53470</v>
      </c>
      <c r="F591" s="2" t="s">
        <v>14</v>
      </c>
      <c r="G591" s="3" t="n">
        <v>415</v>
      </c>
      <c r="H591" s="2" t="s">
        <v>15</v>
      </c>
      <c r="I591" s="2" t="n">
        <v>1000</v>
      </c>
      <c r="J591" s="4" t="n">
        <f aca="false">IFERROR(E591*I591/D591,"")</f>
        <v>414.512190394977</v>
      </c>
      <c r="K591" s="5" t="n">
        <f aca="false">IFERROR((J591-G591)/G591,"")</f>
        <v>-0.00117544483138186</v>
      </c>
      <c r="L591" s="2" t="str">
        <f aca="false">IF(K591="","",IF(ABS(K591)&gt;0.05,"CHECK","OK"))</f>
        <v>OK</v>
      </c>
    </row>
    <row r="592" customFormat="false" ht="15" hidden="false" customHeight="false" outlineLevel="0" collapsed="false">
      <c r="A592" s="2" t="s">
        <v>53</v>
      </c>
      <c r="B592" s="2" t="n">
        <v>2001</v>
      </c>
      <c r="C592" s="2" t="s">
        <v>85</v>
      </c>
      <c r="D592" s="3" t="n">
        <v>266123</v>
      </c>
      <c r="E592" s="3" t="n">
        <v>104320</v>
      </c>
      <c r="F592" s="2" t="s">
        <v>14</v>
      </c>
      <c r="G592" s="3" t="n">
        <v>392</v>
      </c>
      <c r="H592" s="2" t="s">
        <v>15</v>
      </c>
      <c r="I592" s="2" t="n">
        <v>1000</v>
      </c>
      <c r="J592" s="4" t="n">
        <f aca="false">IFERROR(E592*I592/D592,"")</f>
        <v>391.999188345239</v>
      </c>
      <c r="K592" s="5" t="n">
        <f aca="false">IFERROR((J592-G592)/G592,"")</f>
        <v>-2.07054786007844E-006</v>
      </c>
      <c r="L592" s="2" t="str">
        <f aca="false">IF(K592="","",IF(ABS(K592)&gt;0.05,"CHECK","OK"))</f>
        <v>OK</v>
      </c>
    </row>
    <row r="593" customFormat="false" ht="15" hidden="false" customHeight="false" outlineLevel="0" collapsed="false">
      <c r="A593" s="2" t="s">
        <v>54</v>
      </c>
      <c r="B593" s="2" t="n">
        <v>2002</v>
      </c>
      <c r="C593" s="2" t="s">
        <v>83</v>
      </c>
      <c r="D593" s="3" t="n">
        <v>6200</v>
      </c>
      <c r="E593" s="3" t="n">
        <v>4172</v>
      </c>
      <c r="F593" s="2" t="s">
        <v>14</v>
      </c>
      <c r="G593" s="3" t="n">
        <v>673</v>
      </c>
      <c r="H593" s="2" t="s">
        <v>15</v>
      </c>
      <c r="I593" s="2" t="n">
        <v>1000</v>
      </c>
      <c r="J593" s="4" t="n">
        <f aca="false">IFERROR(E593*I593/D593,"")</f>
        <v>672.903225806452</v>
      </c>
      <c r="K593" s="5" t="n">
        <f aca="false">IFERROR((J593-G593)/G593,"")</f>
        <v>-0.000143795235584566</v>
      </c>
      <c r="L593" s="2" t="str">
        <f aca="false">IF(K593="","",IF(ABS(K593)&gt;0.05,"CHECK","OK"))</f>
        <v>OK</v>
      </c>
    </row>
    <row r="594" customFormat="false" ht="15" hidden="false" customHeight="false" outlineLevel="0" collapsed="false">
      <c r="A594" s="2" t="s">
        <v>54</v>
      </c>
      <c r="B594" s="2" t="n">
        <v>2002</v>
      </c>
      <c r="C594" s="2" t="s">
        <v>84</v>
      </c>
      <c r="D594" s="3" t="n">
        <v>112812</v>
      </c>
      <c r="E594" s="3" t="n">
        <v>48053</v>
      </c>
      <c r="F594" s="2" t="s">
        <v>14</v>
      </c>
      <c r="G594" s="3" t="n">
        <v>426</v>
      </c>
      <c r="H594" s="2" t="s">
        <v>15</v>
      </c>
      <c r="I594" s="2" t="n">
        <v>1000</v>
      </c>
      <c r="J594" s="4" t="n">
        <f aca="false">IFERROR(E594*I594/D594,"")</f>
        <v>425.95645853278</v>
      </c>
      <c r="K594" s="5" t="n">
        <f aca="false">IFERROR((J594-G594)/G594,"")</f>
        <v>-0.000102210016947946</v>
      </c>
      <c r="L594" s="2" t="str">
        <f aca="false">IF(K594="","",IF(ABS(K594)&gt;0.05,"CHECK","OK"))</f>
        <v>OK</v>
      </c>
    </row>
    <row r="595" customFormat="false" ht="15" hidden="false" customHeight="false" outlineLevel="0" collapsed="false">
      <c r="A595" s="2" t="s">
        <v>54</v>
      </c>
      <c r="B595" s="2" t="n">
        <v>2002</v>
      </c>
      <c r="C595" s="2" t="s">
        <v>85</v>
      </c>
      <c r="D595" s="3" t="n">
        <v>196888</v>
      </c>
      <c r="E595" s="3" t="n">
        <v>78555</v>
      </c>
      <c r="F595" s="2" t="s">
        <v>14</v>
      </c>
      <c r="G595" s="3" t="n">
        <v>399</v>
      </c>
      <c r="H595" s="2" t="s">
        <v>15</v>
      </c>
      <c r="I595" s="2" t="n">
        <v>1000</v>
      </c>
      <c r="J595" s="4" t="n">
        <f aca="false">IFERROR(E595*I595/D595,"")</f>
        <v>398.983178253626</v>
      </c>
      <c r="K595" s="5" t="n">
        <f aca="false">IFERROR((J595-G595)/G595,"")</f>
        <v>-4.21597653473184E-005</v>
      </c>
      <c r="L595" s="2" t="str">
        <f aca="false">IF(K595="","",IF(ABS(K595)&gt;0.05,"CHECK","OK"))</f>
        <v>OK</v>
      </c>
    </row>
    <row r="596" customFormat="false" ht="15" hidden="false" customHeight="false" outlineLevel="0" collapsed="false">
      <c r="A596" s="2" t="s">
        <v>55</v>
      </c>
      <c r="B596" s="2" t="n">
        <v>2003</v>
      </c>
      <c r="C596" s="2" t="s">
        <v>83</v>
      </c>
      <c r="D596" s="3" t="n">
        <v>6625</v>
      </c>
      <c r="E596" s="3" t="n">
        <v>4349</v>
      </c>
      <c r="F596" s="2" t="s">
        <v>14</v>
      </c>
      <c r="G596" s="3" t="n">
        <v>656</v>
      </c>
      <c r="H596" s="2" t="s">
        <v>15</v>
      </c>
      <c r="I596" s="2" t="n">
        <v>1000</v>
      </c>
      <c r="J596" s="4" t="n">
        <f aca="false">IFERROR(E596*I596/D596,"")</f>
        <v>656.452830188679</v>
      </c>
      <c r="K596" s="5" t="n">
        <f aca="false">IFERROR((J596-G596)/G596,"")</f>
        <v>0.000690289921767204</v>
      </c>
      <c r="L596" s="2" t="str">
        <f aca="false">IF(K596="","",IF(ABS(K596)&gt;0.05,"CHECK","OK"))</f>
        <v>OK</v>
      </c>
    </row>
    <row r="597" customFormat="false" ht="15" hidden="false" customHeight="false" outlineLevel="0" collapsed="false">
      <c r="A597" s="2" t="s">
        <v>55</v>
      </c>
      <c r="B597" s="2" t="n">
        <v>2003</v>
      </c>
      <c r="C597" s="2" t="s">
        <v>84</v>
      </c>
      <c r="D597" s="3" t="n">
        <v>125690</v>
      </c>
      <c r="E597" s="3" t="n">
        <v>53315</v>
      </c>
      <c r="F597" s="2" t="s">
        <v>14</v>
      </c>
      <c r="G597" s="3" t="n">
        <v>424</v>
      </c>
      <c r="H597" s="2" t="s">
        <v>15</v>
      </c>
      <c r="I597" s="2" t="n">
        <v>1000</v>
      </c>
      <c r="J597" s="4" t="n">
        <f aca="false">IFERROR(E597*I597/D597,"")</f>
        <v>424.178534489617</v>
      </c>
      <c r="K597" s="5" t="n">
        <f aca="false">IFERROR((J597-G597)/G597,"")</f>
        <v>0.000421071909474845</v>
      </c>
      <c r="L597" s="2" t="str">
        <f aca="false">IF(K597="","",IF(ABS(K597)&gt;0.05,"CHECK","OK"))</f>
        <v>OK</v>
      </c>
    </row>
    <row r="598" customFormat="false" ht="15" hidden="false" customHeight="false" outlineLevel="0" collapsed="false">
      <c r="A598" s="2" t="s">
        <v>55</v>
      </c>
      <c r="B598" s="2" t="n">
        <v>2003</v>
      </c>
      <c r="C598" s="2" t="s">
        <v>85</v>
      </c>
      <c r="D598" s="3" t="n">
        <v>185736</v>
      </c>
      <c r="E598" s="3" t="n">
        <v>75920</v>
      </c>
      <c r="F598" s="2" t="s">
        <v>14</v>
      </c>
      <c r="G598" s="3" t="n">
        <v>409</v>
      </c>
      <c r="H598" s="2" t="s">
        <v>15</v>
      </c>
      <c r="I598" s="2" t="n">
        <v>1000</v>
      </c>
      <c r="J598" s="4" t="n">
        <f aca="false">IFERROR(E598*I598/D598,"")</f>
        <v>408.752207434208</v>
      </c>
      <c r="K598" s="5" t="n">
        <f aca="false">IFERROR((J598-G598)/G598,"")</f>
        <v>-0.000605849794113157</v>
      </c>
      <c r="L598" s="2" t="str">
        <f aca="false">IF(K598="","",IF(ABS(K598)&gt;0.05,"CHECK","OK"))</f>
        <v>OK</v>
      </c>
    </row>
    <row r="599" customFormat="false" ht="15" hidden="false" customHeight="false" outlineLevel="0" collapsed="false">
      <c r="A599" s="2" t="s">
        <v>56</v>
      </c>
      <c r="B599" s="2" t="n">
        <v>2004</v>
      </c>
      <c r="C599" s="2" t="s">
        <v>83</v>
      </c>
      <c r="D599" s="3" t="n">
        <v>6420</v>
      </c>
      <c r="E599" s="3" t="n">
        <v>3942</v>
      </c>
      <c r="F599" s="2" t="s">
        <v>14</v>
      </c>
      <c r="G599" s="3" t="n">
        <v>614</v>
      </c>
      <c r="H599" s="2" t="s">
        <v>15</v>
      </c>
      <c r="I599" s="2" t="n">
        <v>1000</v>
      </c>
      <c r="J599" s="4" t="n">
        <f aca="false">IFERROR(E599*I599/D599,"")</f>
        <v>614.018691588785</v>
      </c>
      <c r="K599" s="5" t="n">
        <f aca="false">IFERROR((J599-G599)/G599,"")</f>
        <v>3.04423270114525E-005</v>
      </c>
      <c r="L599" s="2" t="str">
        <f aca="false">IF(K599="","",IF(ABS(K599)&gt;0.05,"CHECK","OK"))</f>
        <v>OK</v>
      </c>
    </row>
    <row r="600" customFormat="false" ht="15" hidden="false" customHeight="false" outlineLevel="0" collapsed="false">
      <c r="A600" s="2" t="s">
        <v>56</v>
      </c>
      <c r="B600" s="2" t="n">
        <v>2004</v>
      </c>
      <c r="C600" s="2" t="s">
        <v>84</v>
      </c>
      <c r="D600" s="3" t="n">
        <v>154959</v>
      </c>
      <c r="E600" s="3" t="n">
        <v>61760</v>
      </c>
      <c r="F600" s="2" t="s">
        <v>14</v>
      </c>
      <c r="G600" s="3" t="n">
        <v>399</v>
      </c>
      <c r="H600" s="2" t="s">
        <v>15</v>
      </c>
      <c r="I600" s="2" t="n">
        <v>1000</v>
      </c>
      <c r="J600" s="4" t="n">
        <f aca="false">IFERROR(E600*I600/D600,"")</f>
        <v>398.557037668028</v>
      </c>
      <c r="K600" s="5" t="n">
        <f aca="false">IFERROR((J600-G600)/G600,"")</f>
        <v>-0.00111018128313702</v>
      </c>
      <c r="L600" s="2" t="str">
        <f aca="false">IF(K600="","",IF(ABS(K600)&gt;0.05,"CHECK","OK"))</f>
        <v>OK</v>
      </c>
    </row>
    <row r="601" customFormat="false" ht="15" hidden="false" customHeight="false" outlineLevel="0" collapsed="false">
      <c r="A601" s="2" t="s">
        <v>56</v>
      </c>
      <c r="B601" s="2" t="n">
        <v>2004</v>
      </c>
      <c r="C601" s="2" t="s">
        <v>85</v>
      </c>
      <c r="D601" s="3" t="n">
        <v>226364</v>
      </c>
      <c r="E601" s="3" t="n">
        <v>82998</v>
      </c>
      <c r="F601" s="2" t="s">
        <v>14</v>
      </c>
      <c r="G601" s="3" t="n">
        <v>367</v>
      </c>
      <c r="H601" s="2" t="s">
        <v>15</v>
      </c>
      <c r="I601" s="2" t="n">
        <v>1000</v>
      </c>
      <c r="J601" s="4" t="n">
        <f aca="false">IFERROR(E601*I601/D601,"")</f>
        <v>366.657242317683</v>
      </c>
      <c r="K601" s="5" t="n">
        <f aca="false">IFERROR((J601-G601)/G601,"")</f>
        <v>-0.000933944638465863</v>
      </c>
      <c r="L601" s="2" t="str">
        <f aca="false">IF(K601="","",IF(ABS(K601)&gt;0.05,"CHECK","OK"))</f>
        <v>OK</v>
      </c>
    </row>
    <row r="602" customFormat="false" ht="15" hidden="false" customHeight="false" outlineLevel="0" collapsed="false">
      <c r="A602" s="2" t="s">
        <v>57</v>
      </c>
      <c r="B602" s="2" t="n">
        <v>2005</v>
      </c>
      <c r="C602" s="2" t="s">
        <v>83</v>
      </c>
      <c r="D602" s="3" t="n">
        <v>5907</v>
      </c>
      <c r="E602" s="3" t="n">
        <v>4007</v>
      </c>
      <c r="F602" s="2" t="s">
        <v>14</v>
      </c>
      <c r="G602" s="3" t="n">
        <v>678</v>
      </c>
      <c r="H602" s="2" t="s">
        <v>15</v>
      </c>
      <c r="I602" s="2" t="n">
        <v>1000</v>
      </c>
      <c r="J602" s="4" t="n">
        <f aca="false">IFERROR(E602*I602/D602,"")</f>
        <v>678.34772304046</v>
      </c>
      <c r="K602" s="5" t="n">
        <f aca="false">IFERROR((J602-G602)/G602,"")</f>
        <v>0.000512865841387075</v>
      </c>
      <c r="L602" s="2" t="str">
        <f aca="false">IF(K602="","",IF(ABS(K602)&gt;0.05,"CHECK","OK"))</f>
        <v>OK</v>
      </c>
    </row>
    <row r="603" customFormat="false" ht="15" hidden="false" customHeight="false" outlineLevel="0" collapsed="false">
      <c r="A603" s="2" t="s">
        <v>57</v>
      </c>
      <c r="B603" s="2" t="n">
        <v>2005</v>
      </c>
      <c r="C603" s="2" t="s">
        <v>84</v>
      </c>
      <c r="D603" s="3" t="n">
        <v>136699</v>
      </c>
      <c r="E603" s="3" t="n">
        <v>45881</v>
      </c>
      <c r="F603" s="2" t="s">
        <v>14</v>
      </c>
      <c r="G603" s="3" t="n">
        <v>336</v>
      </c>
      <c r="H603" s="2" t="s">
        <v>15</v>
      </c>
      <c r="I603" s="2" t="n">
        <v>1000</v>
      </c>
      <c r="J603" s="4" t="n">
        <f aca="false">IFERROR(E603*I603/D603,"")</f>
        <v>335.635227763188</v>
      </c>
      <c r="K603" s="5" t="n">
        <f aca="false">IFERROR((J603-G603)/G603,"")</f>
        <v>-0.00108563165717934</v>
      </c>
      <c r="L603" s="2" t="str">
        <f aca="false">IF(K603="","",IF(ABS(K603)&gt;0.05,"CHECK","OK"))</f>
        <v>OK</v>
      </c>
    </row>
    <row r="604" customFormat="false" ht="15" hidden="false" customHeight="false" outlineLevel="0" collapsed="false">
      <c r="A604" s="2" t="s">
        <v>57</v>
      </c>
      <c r="B604" s="2" t="n">
        <v>2005</v>
      </c>
      <c r="C604" s="2" t="s">
        <v>85</v>
      </c>
      <c r="D604" s="3" t="n">
        <v>215448</v>
      </c>
      <c r="E604" s="3" t="n">
        <v>70758</v>
      </c>
      <c r="F604" s="2" t="s">
        <v>14</v>
      </c>
      <c r="G604" s="3" t="n">
        <v>328</v>
      </c>
      <c r="H604" s="2" t="s">
        <v>15</v>
      </c>
      <c r="I604" s="2" t="n">
        <v>1000</v>
      </c>
      <c r="J604" s="4" t="n">
        <f aca="false">IFERROR(E604*I604/D604,"")</f>
        <v>328.422635624373</v>
      </c>
      <c r="K604" s="5" t="n">
        <f aca="false">IFERROR((J604-G604)/G604,"")</f>
        <v>0.00128852324504089</v>
      </c>
      <c r="L604" s="2" t="str">
        <f aca="false">IF(K604="","",IF(ABS(K604)&gt;0.05,"CHECK","OK"))</f>
        <v>OK</v>
      </c>
    </row>
    <row r="605" customFormat="false" ht="15" hidden="false" customHeight="false" outlineLevel="0" collapsed="false">
      <c r="A605" s="2" t="s">
        <v>58</v>
      </c>
      <c r="B605" s="2" t="n">
        <v>2006</v>
      </c>
      <c r="C605" s="2" t="s">
        <v>83</v>
      </c>
      <c r="D605" s="3" t="n">
        <v>5933</v>
      </c>
      <c r="E605" s="3" t="n">
        <v>3831</v>
      </c>
      <c r="F605" s="2" t="s">
        <v>14</v>
      </c>
      <c r="G605" s="3" t="n">
        <v>646</v>
      </c>
      <c r="H605" s="2" t="s">
        <v>15</v>
      </c>
      <c r="I605" s="2" t="n">
        <v>1000</v>
      </c>
      <c r="J605" s="4" t="n">
        <f aca="false">IFERROR(E605*I605/D605,"")</f>
        <v>645.710433170403</v>
      </c>
      <c r="K605" s="5" t="n">
        <f aca="false">IFERROR((J605-G605)/G605,"")</f>
        <v>-0.000448245866249567</v>
      </c>
      <c r="L605" s="2" t="str">
        <f aca="false">IF(K605="","",IF(ABS(K605)&gt;0.05,"CHECK","OK"))</f>
        <v>OK</v>
      </c>
    </row>
    <row r="606" customFormat="false" ht="15" hidden="false" customHeight="false" outlineLevel="0" collapsed="false">
      <c r="A606" s="2" t="s">
        <v>58</v>
      </c>
      <c r="B606" s="2" t="n">
        <v>2006</v>
      </c>
      <c r="C606" s="2" t="s">
        <v>84</v>
      </c>
      <c r="D606" s="3" t="n">
        <v>134071</v>
      </c>
      <c r="E606" s="3" t="n">
        <v>77404</v>
      </c>
      <c r="F606" s="2" t="s">
        <v>14</v>
      </c>
      <c r="G606" s="3" t="n">
        <v>577</v>
      </c>
      <c r="H606" s="2" t="s">
        <v>15</v>
      </c>
      <c r="I606" s="2" t="n">
        <v>1000</v>
      </c>
      <c r="J606" s="4" t="n">
        <f aca="false">IFERROR(E606*I606/D606,"")</f>
        <v>577.33588919304</v>
      </c>
      <c r="K606" s="5" t="n">
        <f aca="false">IFERROR((J606-G606)/G606,"")</f>
        <v>0.000582130317226205</v>
      </c>
      <c r="L606" s="2" t="str">
        <f aca="false">IF(K606="","",IF(ABS(K606)&gt;0.05,"CHECK","OK"))</f>
        <v>OK</v>
      </c>
    </row>
    <row r="607" customFormat="false" ht="15" hidden="false" customHeight="false" outlineLevel="0" collapsed="false">
      <c r="A607" s="2" t="s">
        <v>58</v>
      </c>
      <c r="B607" s="2" t="n">
        <v>2006</v>
      </c>
      <c r="C607" s="2" t="s">
        <v>85</v>
      </c>
      <c r="D607" s="3" t="n">
        <v>251014</v>
      </c>
      <c r="E607" s="3" t="n">
        <v>143053</v>
      </c>
      <c r="F607" s="2" t="s">
        <v>14</v>
      </c>
      <c r="G607" s="3" t="n">
        <v>570</v>
      </c>
      <c r="H607" s="2" t="s">
        <v>15</v>
      </c>
      <c r="I607" s="2" t="n">
        <v>1000</v>
      </c>
      <c r="J607" s="4" t="n">
        <f aca="false">IFERROR(E607*I607/D607,"")</f>
        <v>569.900483638363</v>
      </c>
      <c r="K607" s="5" t="n">
        <f aca="false">IFERROR((J607-G607)/G607,"")</f>
        <v>-0.000174590108135338</v>
      </c>
      <c r="L607" s="2" t="str">
        <f aca="false">IF(K607="","",IF(ABS(K607)&gt;0.05,"CHECK","OK"))</f>
        <v>OK</v>
      </c>
    </row>
    <row r="608" customFormat="false" ht="15" hidden="false" customHeight="false" outlineLevel="0" collapsed="false">
      <c r="A608" s="2" t="s">
        <v>59</v>
      </c>
      <c r="B608" s="2" t="n">
        <v>2007</v>
      </c>
      <c r="C608" s="2" t="s">
        <v>83</v>
      </c>
      <c r="D608" s="3" t="n">
        <v>6800</v>
      </c>
      <c r="E608" s="3" t="n">
        <v>4587</v>
      </c>
      <c r="F608" s="2" t="s">
        <v>14</v>
      </c>
      <c r="G608" s="3" t="n">
        <v>675</v>
      </c>
      <c r="H608" s="2" t="s">
        <v>15</v>
      </c>
      <c r="I608" s="2" t="n">
        <v>1000</v>
      </c>
      <c r="J608" s="4" t="n">
        <f aca="false">IFERROR(E608*I608/D608,"")</f>
        <v>674.558823529412</v>
      </c>
      <c r="K608" s="5" t="n">
        <f aca="false">IFERROR((J608-G608)/G608,"")</f>
        <v>-0.000653594771241909</v>
      </c>
      <c r="L608" s="2" t="str">
        <f aca="false">IF(K608="","",IF(ABS(K608)&gt;0.05,"CHECK","OK"))</f>
        <v>OK</v>
      </c>
    </row>
    <row r="609" customFormat="false" ht="15" hidden="false" customHeight="false" outlineLevel="0" collapsed="false">
      <c r="A609" s="2" t="s">
        <v>59</v>
      </c>
      <c r="B609" s="2" t="n">
        <v>2007</v>
      </c>
      <c r="C609" s="2" t="s">
        <v>84</v>
      </c>
      <c r="D609" s="3" t="n">
        <v>158691</v>
      </c>
      <c r="E609" s="3" t="n">
        <v>46213</v>
      </c>
      <c r="F609" s="2" t="s">
        <v>14</v>
      </c>
      <c r="G609" s="3" t="n">
        <v>291</v>
      </c>
      <c r="H609" s="2" t="s">
        <v>15</v>
      </c>
      <c r="I609" s="2" t="n">
        <v>1000</v>
      </c>
      <c r="J609" s="4" t="n">
        <f aca="false">IFERROR(E609*I609/D609,"")</f>
        <v>291.213742430258</v>
      </c>
      <c r="K609" s="5" t="n">
        <f aca="false">IFERROR((J609-G609)/G609,"")</f>
        <v>0.00073451006961349</v>
      </c>
      <c r="L609" s="2" t="str">
        <f aca="false">IF(K609="","",IF(ABS(K609)&gt;0.05,"CHECK","OK"))</f>
        <v>OK</v>
      </c>
    </row>
    <row r="610" customFormat="false" ht="15" hidden="false" customHeight="false" outlineLevel="0" collapsed="false">
      <c r="A610" s="2" t="s">
        <v>59</v>
      </c>
      <c r="B610" s="2" t="n">
        <v>2007</v>
      </c>
      <c r="C610" s="2" t="s">
        <v>85</v>
      </c>
      <c r="D610" s="3" t="n">
        <v>307515</v>
      </c>
      <c r="E610" s="3" t="n">
        <v>79980</v>
      </c>
      <c r="F610" s="2" t="s">
        <v>14</v>
      </c>
      <c r="G610" s="3" t="n">
        <v>260</v>
      </c>
      <c r="H610" s="2" t="s">
        <v>15</v>
      </c>
      <c r="I610" s="2" t="n">
        <v>1000</v>
      </c>
      <c r="J610" s="4" t="n">
        <f aca="false">IFERROR(E610*I610/D610,"")</f>
        <v>260.08487390859</v>
      </c>
      <c r="K610" s="5" t="n">
        <f aca="false">IFERROR((J610-G610)/G610,"")</f>
        <v>0.000326438109960874</v>
      </c>
      <c r="L610" s="2" t="str">
        <f aca="false">IF(K610="","",IF(ABS(K610)&gt;0.05,"CHECK","OK"))</f>
        <v>OK</v>
      </c>
    </row>
    <row r="611" customFormat="false" ht="15" hidden="false" customHeight="false" outlineLevel="0" collapsed="false">
      <c r="A611" s="2" t="s">
        <v>60</v>
      </c>
      <c r="B611" s="2" t="n">
        <v>2008</v>
      </c>
      <c r="C611" s="2" t="s">
        <v>83</v>
      </c>
      <c r="D611" s="3" t="n">
        <v>6852</v>
      </c>
      <c r="E611" s="3" t="n">
        <v>4363</v>
      </c>
      <c r="F611" s="2" t="s">
        <v>14</v>
      </c>
      <c r="G611" s="3" t="n">
        <v>637</v>
      </c>
      <c r="H611" s="2" t="s">
        <v>15</v>
      </c>
      <c r="I611" s="2" t="n">
        <v>1000</v>
      </c>
      <c r="J611" s="4" t="n">
        <f aca="false">IFERROR(E611*I611/D611,"")</f>
        <v>636.748394629305</v>
      </c>
      <c r="K611" s="5" t="n">
        <f aca="false">IFERROR((J611-G611)/G611,"")</f>
        <v>-0.00039498488335123</v>
      </c>
      <c r="L611" s="2" t="str">
        <f aca="false">IF(K611="","",IF(ABS(K611)&gt;0.05,"CHECK","OK"))</f>
        <v>OK</v>
      </c>
    </row>
    <row r="612" customFormat="false" ht="15" hidden="false" customHeight="false" outlineLevel="0" collapsed="false">
      <c r="A612" s="2" t="s">
        <v>60</v>
      </c>
      <c r="B612" s="2" t="n">
        <v>2008</v>
      </c>
      <c r="C612" s="2" t="s">
        <v>84</v>
      </c>
      <c r="D612" s="3" t="n">
        <v>138598</v>
      </c>
      <c r="E612" s="3" t="n">
        <v>31336</v>
      </c>
      <c r="F612" s="2" t="s">
        <v>14</v>
      </c>
      <c r="G612" s="3" t="n">
        <v>226</v>
      </c>
      <c r="H612" s="2" t="s">
        <v>15</v>
      </c>
      <c r="I612" s="2" t="n">
        <v>1000</v>
      </c>
      <c r="J612" s="4" t="n">
        <f aca="false">IFERROR(E612*I612/D612,"")</f>
        <v>226.092728610802</v>
      </c>
      <c r="K612" s="5" t="n">
        <f aca="false">IFERROR((J612-G612)/G612,"")</f>
        <v>0.000410303587621474</v>
      </c>
      <c r="L612" s="2" t="str">
        <f aca="false">IF(K612="","",IF(ABS(K612)&gt;0.05,"CHECK","OK"))</f>
        <v>OK</v>
      </c>
    </row>
    <row r="613" customFormat="false" ht="15" hidden="false" customHeight="false" outlineLevel="0" collapsed="false">
      <c r="A613" s="2" t="s">
        <v>60</v>
      </c>
      <c r="B613" s="2" t="n">
        <v>2008</v>
      </c>
      <c r="C613" s="2" t="s">
        <v>85</v>
      </c>
      <c r="D613" s="3" t="n">
        <v>263671</v>
      </c>
      <c r="E613" s="3" t="n">
        <v>82983</v>
      </c>
      <c r="F613" s="2" t="s">
        <v>14</v>
      </c>
      <c r="G613" s="3" t="n">
        <v>315</v>
      </c>
      <c r="H613" s="2" t="s">
        <v>15</v>
      </c>
      <c r="I613" s="2" t="n">
        <v>1000</v>
      </c>
      <c r="J613" s="4" t="n">
        <f aca="false">IFERROR(E613*I613/D613,"")</f>
        <v>314.721755521085</v>
      </c>
      <c r="K613" s="5" t="n">
        <f aca="false">IFERROR((J613-G613)/G613,"")</f>
        <v>-0.000883315806079317</v>
      </c>
      <c r="L613" s="2" t="str">
        <f aca="false">IF(K613="","",IF(ABS(K613)&gt;0.05,"CHECK","OK"))</f>
        <v>OK</v>
      </c>
    </row>
    <row r="614" customFormat="false" ht="15" hidden="false" customHeight="false" outlineLevel="0" collapsed="false">
      <c r="A614" s="2" t="s">
        <v>61</v>
      </c>
      <c r="B614" s="2" t="n">
        <v>2009</v>
      </c>
      <c r="C614" s="2" t="s">
        <v>83</v>
      </c>
      <c r="D614" s="3" t="n">
        <v>7432</v>
      </c>
      <c r="E614" s="3" t="n">
        <v>4542</v>
      </c>
      <c r="F614" s="2" t="s">
        <v>14</v>
      </c>
      <c r="G614" s="3" t="n">
        <v>611</v>
      </c>
      <c r="H614" s="2" t="s">
        <v>15</v>
      </c>
      <c r="I614" s="2" t="n">
        <v>1000</v>
      </c>
      <c r="J614" s="4" t="n">
        <f aca="false">IFERROR(E614*I614/D614,"")</f>
        <v>611.141011840689</v>
      </c>
      <c r="K614" s="5" t="n">
        <f aca="false">IFERROR((J614-G614)/G614,"")</f>
        <v>0.000230788609965403</v>
      </c>
      <c r="L614" s="2" t="str">
        <f aca="false">IF(K614="","",IF(ABS(K614)&gt;0.05,"CHECK","OK"))</f>
        <v>OK</v>
      </c>
    </row>
    <row r="615" customFormat="false" ht="15" hidden="false" customHeight="false" outlineLevel="0" collapsed="false">
      <c r="A615" s="2" t="s">
        <v>61</v>
      </c>
      <c r="B615" s="2" t="n">
        <v>2009</v>
      </c>
      <c r="C615" s="2" t="s">
        <v>84</v>
      </c>
      <c r="D615" s="3" t="n">
        <v>138138</v>
      </c>
      <c r="E615" s="3" t="n">
        <v>47673</v>
      </c>
      <c r="F615" s="2" t="s">
        <v>14</v>
      </c>
      <c r="G615" s="3" t="n">
        <v>345</v>
      </c>
      <c r="H615" s="2" t="s">
        <v>15</v>
      </c>
      <c r="I615" s="2" t="n">
        <v>1000</v>
      </c>
      <c r="J615" s="4" t="n">
        <f aca="false">IFERROR(E615*I615/D615,"")</f>
        <v>345.111410328802</v>
      </c>
      <c r="K615" s="5" t="n">
        <f aca="false">IFERROR((J615-G615)/G615,"")</f>
        <v>0.000322928489280114</v>
      </c>
      <c r="L615" s="2" t="str">
        <f aca="false">IF(K615="","",IF(ABS(K615)&gt;0.05,"CHECK","OK"))</f>
        <v>OK</v>
      </c>
    </row>
    <row r="616" customFormat="false" ht="15" hidden="false" customHeight="false" outlineLevel="0" collapsed="false">
      <c r="A616" s="2" t="s">
        <v>61</v>
      </c>
      <c r="B616" s="2" t="n">
        <v>2009</v>
      </c>
      <c r="C616" s="2" t="s">
        <v>85</v>
      </c>
      <c r="D616" s="3" t="n">
        <v>259722</v>
      </c>
      <c r="E616" s="3" t="n">
        <v>98712</v>
      </c>
      <c r="F616" s="2" t="s">
        <v>14</v>
      </c>
      <c r="G616" s="3" t="n">
        <v>380</v>
      </c>
      <c r="H616" s="2" t="s">
        <v>15</v>
      </c>
      <c r="I616" s="2" t="n">
        <v>1000</v>
      </c>
      <c r="J616" s="4" t="n">
        <f aca="false">IFERROR(E616*I616/D616,"")</f>
        <v>380.06791877469</v>
      </c>
      <c r="K616" s="5" t="n">
        <f aca="false">IFERROR((J616-G616)/G616,"")</f>
        <v>0.000178733617604926</v>
      </c>
      <c r="L616" s="2" t="str">
        <f aca="false">IF(K616="","",IF(ABS(K616)&gt;0.05,"CHECK","OK"))</f>
        <v>OK</v>
      </c>
    </row>
    <row r="617" customFormat="false" ht="15" hidden="false" customHeight="false" outlineLevel="0" collapsed="false">
      <c r="A617" s="2" t="s">
        <v>62</v>
      </c>
      <c r="B617" s="2" t="n">
        <v>2010</v>
      </c>
      <c r="C617" s="2" t="s">
        <v>83</v>
      </c>
      <c r="D617" s="3" t="n">
        <v>7296</v>
      </c>
      <c r="E617" s="3" t="n">
        <v>4937</v>
      </c>
      <c r="F617" s="2" t="s">
        <v>14</v>
      </c>
      <c r="G617" s="3" t="n">
        <v>677</v>
      </c>
      <c r="H617" s="2" t="s">
        <v>15</v>
      </c>
      <c r="I617" s="2" t="n">
        <v>1000</v>
      </c>
      <c r="J617" s="4" t="n">
        <f aca="false">IFERROR(E617*I617/D617,"")</f>
        <v>676.672149122807</v>
      </c>
      <c r="K617" s="5" t="n">
        <f aca="false">IFERROR((J617-G617)/G617,"")</f>
        <v>-0.000484270128793185</v>
      </c>
      <c r="L617" s="2" t="str">
        <f aca="false">IF(K617="","",IF(ABS(K617)&gt;0.05,"CHECK","OK"))</f>
        <v>OK</v>
      </c>
    </row>
    <row r="618" customFormat="false" ht="15" hidden="false" customHeight="false" outlineLevel="0" collapsed="false">
      <c r="A618" s="2" t="s">
        <v>62</v>
      </c>
      <c r="B618" s="2" t="n">
        <v>2010</v>
      </c>
      <c r="C618" s="2" t="s">
        <v>84</v>
      </c>
      <c r="D618" s="3" t="n">
        <v>171666</v>
      </c>
      <c r="E618" s="3" t="n">
        <v>57683</v>
      </c>
      <c r="F618" s="2" t="s">
        <v>14</v>
      </c>
      <c r="G618" s="3" t="n">
        <v>336</v>
      </c>
      <c r="H618" s="2" t="s">
        <v>15</v>
      </c>
      <c r="I618" s="2" t="n">
        <v>1000</v>
      </c>
      <c r="J618" s="4" t="n">
        <f aca="false">IFERROR(E618*I618/D618,"")</f>
        <v>336.018780655459</v>
      </c>
      <c r="K618" s="5" t="n">
        <f aca="false">IFERROR((J618-G618)/G618,"")</f>
        <v>5.58948079132159E-005</v>
      </c>
      <c r="L618" s="2" t="str">
        <f aca="false">IF(K618="","",IF(ABS(K618)&gt;0.05,"CHECK","OK"))</f>
        <v>OK</v>
      </c>
    </row>
    <row r="619" customFormat="false" ht="15" hidden="false" customHeight="false" outlineLevel="0" collapsed="false">
      <c r="A619" s="2" t="s">
        <v>62</v>
      </c>
      <c r="B619" s="2" t="n">
        <v>2010</v>
      </c>
      <c r="C619" s="2" t="s">
        <v>85</v>
      </c>
      <c r="D619" s="3" t="n">
        <v>304432</v>
      </c>
      <c r="E619" s="3" t="n">
        <v>123011</v>
      </c>
      <c r="F619" s="2" t="s">
        <v>14</v>
      </c>
      <c r="G619" s="3" t="n">
        <v>404</v>
      </c>
      <c r="H619" s="2" t="s">
        <v>15</v>
      </c>
      <c r="I619" s="2" t="n">
        <v>1000</v>
      </c>
      <c r="J619" s="4" t="n">
        <f aca="false">IFERROR(E619*I619/D619,"")</f>
        <v>404.067246544384</v>
      </c>
      <c r="K619" s="5" t="n">
        <f aca="false">IFERROR((J619-G619)/G619,"")</f>
        <v>0.000166451842535441</v>
      </c>
      <c r="L619" s="2" t="str">
        <f aca="false">IF(K619="","",IF(ABS(K619)&gt;0.05,"CHECK","OK"))</f>
        <v>OK</v>
      </c>
    </row>
    <row r="620" customFormat="false" ht="15" hidden="false" customHeight="false" outlineLevel="0" collapsed="false">
      <c r="A620" s="2" t="s">
        <v>63</v>
      </c>
      <c r="B620" s="2" t="n">
        <v>2011</v>
      </c>
      <c r="C620" s="2" t="s">
        <v>83</v>
      </c>
      <c r="D620" s="3" t="n">
        <v>5520</v>
      </c>
      <c r="E620" s="3" t="n">
        <v>3549</v>
      </c>
      <c r="F620" s="2" t="s">
        <v>14</v>
      </c>
      <c r="G620" s="3" t="n">
        <v>643</v>
      </c>
      <c r="H620" s="2" t="s">
        <v>15</v>
      </c>
      <c r="I620" s="2" t="n">
        <v>1000</v>
      </c>
      <c r="J620" s="4" t="n">
        <f aca="false">IFERROR(E620*I620/D620,"")</f>
        <v>642.934782608696</v>
      </c>
      <c r="K620" s="5" t="n">
        <f aca="false">IFERROR((J620-G620)/G620,"")</f>
        <v>-0.000101426736087671</v>
      </c>
      <c r="L620" s="2" t="str">
        <f aca="false">IF(K620="","",IF(ABS(K620)&gt;0.05,"CHECK","OK"))</f>
        <v>OK</v>
      </c>
    </row>
    <row r="621" customFormat="false" ht="15" hidden="false" customHeight="false" outlineLevel="0" collapsed="false">
      <c r="A621" s="2" t="s">
        <v>63</v>
      </c>
      <c r="B621" s="2" t="n">
        <v>2011</v>
      </c>
      <c r="C621" s="2" t="s">
        <v>84</v>
      </c>
      <c r="D621" s="3" t="n">
        <v>164069</v>
      </c>
      <c r="E621" s="3" t="n">
        <v>85118</v>
      </c>
      <c r="F621" s="2" t="s">
        <v>14</v>
      </c>
      <c r="G621" s="3" t="n">
        <v>519</v>
      </c>
      <c r="H621" s="2" t="s">
        <v>15</v>
      </c>
      <c r="I621" s="2" t="n">
        <v>1000</v>
      </c>
      <c r="J621" s="4" t="n">
        <f aca="false">IFERROR(E621*I621/D621,"")</f>
        <v>518.793922069373</v>
      </c>
      <c r="K621" s="5" t="n">
        <f aca="false">IFERROR((J621-G621)/G621,"")</f>
        <v>-0.000397067303712423</v>
      </c>
      <c r="L621" s="2" t="str">
        <f aca="false">IF(K621="","",IF(ABS(K621)&gt;0.05,"CHECK","OK"))</f>
        <v>OK</v>
      </c>
    </row>
    <row r="622" customFormat="false" ht="15" hidden="false" customHeight="false" outlineLevel="0" collapsed="false">
      <c r="A622" s="2" t="s">
        <v>63</v>
      </c>
      <c r="B622" s="2" t="n">
        <v>2011</v>
      </c>
      <c r="C622" s="2" t="s">
        <v>85</v>
      </c>
      <c r="D622" s="3" t="n">
        <v>308263</v>
      </c>
      <c r="E622" s="3" t="n">
        <v>178816</v>
      </c>
      <c r="F622" s="2" t="s">
        <v>14</v>
      </c>
      <c r="G622" s="3" t="n">
        <v>580</v>
      </c>
      <c r="H622" s="2" t="s">
        <v>15</v>
      </c>
      <c r="I622" s="2" t="n">
        <v>1000</v>
      </c>
      <c r="J622" s="4" t="n">
        <f aca="false">IFERROR(E622*I622/D622,"")</f>
        <v>580.076103846391</v>
      </c>
      <c r="K622" s="5" t="n">
        <f aca="false">IFERROR((J622-G622)/G622,"")</f>
        <v>0.000131213528260136</v>
      </c>
      <c r="L622" s="2" t="str">
        <f aca="false">IF(K622="","",IF(ABS(K622)&gt;0.05,"CHECK","OK"))</f>
        <v>OK</v>
      </c>
    </row>
    <row r="623" customFormat="false" ht="15" hidden="false" customHeight="false" outlineLevel="0" collapsed="false">
      <c r="A623" s="2" t="s">
        <v>64</v>
      </c>
      <c r="B623" s="2" t="n">
        <v>2012</v>
      </c>
      <c r="C623" s="2" t="s">
        <v>83</v>
      </c>
      <c r="D623" s="3" t="n">
        <v>7036</v>
      </c>
      <c r="E623" s="3" t="n">
        <v>4530</v>
      </c>
      <c r="F623" s="2" t="s">
        <v>14</v>
      </c>
      <c r="G623" s="3" t="n">
        <v>643</v>
      </c>
      <c r="H623" s="2" t="s">
        <v>15</v>
      </c>
      <c r="I623" s="2" t="n">
        <v>1000</v>
      </c>
      <c r="J623" s="4" t="n">
        <f aca="false">IFERROR(E623*I623/D623,"")</f>
        <v>643.831722569642</v>
      </c>
      <c r="K623" s="5" t="n">
        <f aca="false">IFERROR((J623-G623)/G623,"")</f>
        <v>0.00129350321872768</v>
      </c>
      <c r="L623" s="2" t="str">
        <f aca="false">IF(K623="","",IF(ABS(K623)&gt;0.05,"CHECK","OK"))</f>
        <v>OK</v>
      </c>
    </row>
    <row r="624" customFormat="false" ht="15" hidden="false" customHeight="false" outlineLevel="0" collapsed="false">
      <c r="A624" s="2" t="s">
        <v>64</v>
      </c>
      <c r="B624" s="2" t="n">
        <v>2012</v>
      </c>
      <c r="C624" s="2" t="s">
        <v>84</v>
      </c>
      <c r="D624" s="3" t="n">
        <v>118615</v>
      </c>
      <c r="E624" s="3" t="n">
        <v>33674</v>
      </c>
      <c r="F624" s="2" t="s">
        <v>14</v>
      </c>
      <c r="G624" s="3" t="n">
        <v>284</v>
      </c>
      <c r="H624" s="2" t="s">
        <v>15</v>
      </c>
      <c r="I624" s="2" t="n">
        <v>1000</v>
      </c>
      <c r="J624" s="4" t="n">
        <f aca="false">IFERROR(E624*I624/D624,"")</f>
        <v>283.893268136408</v>
      </c>
      <c r="K624" s="5" t="n">
        <f aca="false">IFERROR((J624-G624)/G624,"")</f>
        <v>-0.000375816421099654</v>
      </c>
      <c r="L624" s="2" t="str">
        <f aca="false">IF(K624="","",IF(ABS(K624)&gt;0.05,"CHECK","OK"))</f>
        <v>OK</v>
      </c>
    </row>
    <row r="625" customFormat="false" ht="15" hidden="false" customHeight="false" outlineLevel="0" collapsed="false">
      <c r="A625" s="2" t="s">
        <v>64</v>
      </c>
      <c r="B625" s="2" t="n">
        <v>2012</v>
      </c>
      <c r="C625" s="2" t="s">
        <v>85</v>
      </c>
      <c r="D625" s="3" t="n">
        <v>208625</v>
      </c>
      <c r="E625" s="3" t="n">
        <v>88706</v>
      </c>
      <c r="F625" s="2" t="s">
        <v>14</v>
      </c>
      <c r="G625" s="3" t="n">
        <v>425</v>
      </c>
      <c r="H625" s="2" t="s">
        <v>15</v>
      </c>
      <c r="I625" s="2" t="n">
        <v>1000</v>
      </c>
      <c r="J625" s="4" t="n">
        <f aca="false">IFERROR(E625*I625/D625,"")</f>
        <v>425.193529059317</v>
      </c>
      <c r="K625" s="5" t="n">
        <f aca="false">IFERROR((J625-G625)/G625,"")</f>
        <v>0.000455362492510524</v>
      </c>
      <c r="L625" s="2" t="str">
        <f aca="false">IF(K625="","",IF(ABS(K625)&gt;0.05,"CHECK","OK"))</f>
        <v>OK</v>
      </c>
    </row>
    <row r="626" customFormat="false" ht="15" hidden="false" customHeight="false" outlineLevel="0" collapsed="false">
      <c r="A626" s="2" t="s">
        <v>65</v>
      </c>
      <c r="B626" s="2" t="n">
        <v>2013</v>
      </c>
      <c r="C626" s="2" t="s">
        <v>83</v>
      </c>
      <c r="D626" s="3" t="n">
        <v>8908</v>
      </c>
      <c r="E626" s="3" t="n">
        <v>5823</v>
      </c>
      <c r="F626" s="2" t="s">
        <v>14</v>
      </c>
      <c r="G626" s="3" t="n">
        <v>653</v>
      </c>
      <c r="H626" s="2" t="s">
        <v>15</v>
      </c>
      <c r="I626" s="2" t="n">
        <v>1000</v>
      </c>
      <c r="J626" s="4" t="n">
        <f aca="false">IFERROR(E626*I626/D626,"")</f>
        <v>653.682083520431</v>
      </c>
      <c r="K626" s="5" t="n">
        <f aca="false">IFERROR((J626-G626)/G626,"")</f>
        <v>0.00104453831612725</v>
      </c>
      <c r="L626" s="2" t="str">
        <f aca="false">IF(K626="","",IF(ABS(K626)&gt;0.05,"CHECK","OK"))</f>
        <v>OK</v>
      </c>
    </row>
    <row r="627" customFormat="false" ht="15" hidden="false" customHeight="false" outlineLevel="0" collapsed="false">
      <c r="A627" s="2" t="s">
        <v>65</v>
      </c>
      <c r="B627" s="2" t="n">
        <v>2013</v>
      </c>
      <c r="C627" s="2" t="s">
        <v>84</v>
      </c>
      <c r="D627" s="3" t="n">
        <v>195285</v>
      </c>
      <c r="E627" s="3" t="n">
        <v>151400</v>
      </c>
      <c r="F627" s="2" t="s">
        <v>14</v>
      </c>
      <c r="G627" s="3" t="n">
        <v>775</v>
      </c>
      <c r="H627" s="2" t="s">
        <v>15</v>
      </c>
      <c r="I627" s="2" t="n">
        <v>1000</v>
      </c>
      <c r="J627" s="4" t="n">
        <f aca="false">IFERROR(E627*I627/D627,"")</f>
        <v>775.277159023991</v>
      </c>
      <c r="K627" s="5" t="n">
        <f aca="false">IFERROR((J627-G627)/G627,"")</f>
        <v>0.00035762454708469</v>
      </c>
      <c r="L627" s="2" t="str">
        <f aca="false">IF(K627="","",IF(ABS(K627)&gt;0.05,"CHECK","OK"))</f>
        <v>OK</v>
      </c>
    </row>
    <row r="628" customFormat="false" ht="15" hidden="false" customHeight="false" outlineLevel="0" collapsed="false">
      <c r="A628" s="2" t="s">
        <v>65</v>
      </c>
      <c r="B628" s="2" t="n">
        <v>2013</v>
      </c>
      <c r="C628" s="2" t="s">
        <v>85</v>
      </c>
      <c r="D628" s="3" t="n">
        <v>365128</v>
      </c>
      <c r="E628" s="3" t="n">
        <v>310658</v>
      </c>
      <c r="F628" s="2" t="s">
        <v>14</v>
      </c>
      <c r="G628" s="3" t="n">
        <v>851</v>
      </c>
      <c r="H628" s="2" t="s">
        <v>15</v>
      </c>
      <c r="I628" s="2" t="n">
        <v>1000</v>
      </c>
      <c r="J628" s="4" t="n">
        <f aca="false">IFERROR(E628*I628/D628,"")</f>
        <v>850.819438662606</v>
      </c>
      <c r="K628" s="5" t="n">
        <f aca="false">IFERROR((J628-G628)/G628,"")</f>
        <v>-0.000212175484599307</v>
      </c>
      <c r="L628" s="2" t="str">
        <f aca="false">IF(K628="","",IF(ABS(K628)&gt;0.05,"CHECK","OK"))</f>
        <v>OK</v>
      </c>
    </row>
    <row r="629" customFormat="false" ht="15" hidden="false" customHeight="false" outlineLevel="0" collapsed="false">
      <c r="A629" s="2" t="s">
        <v>66</v>
      </c>
      <c r="B629" s="2" t="n">
        <v>2014</v>
      </c>
      <c r="C629" s="2" t="s">
        <v>83</v>
      </c>
      <c r="D629" s="3" t="n">
        <v>6820</v>
      </c>
      <c r="E629" s="3" t="n">
        <v>4177</v>
      </c>
      <c r="F629" s="2" t="s">
        <v>14</v>
      </c>
      <c r="G629" s="3" t="n">
        <v>645</v>
      </c>
      <c r="H629" s="2" t="s">
        <v>15</v>
      </c>
      <c r="I629" s="2" t="n">
        <v>1000</v>
      </c>
      <c r="J629" s="4" t="n">
        <f aca="false">IFERROR(E629*I629/D629,"")</f>
        <v>612.463343108504</v>
      </c>
      <c r="K629" s="5" t="n">
        <f aca="false">IFERROR((J629-G629)/G629,"")</f>
        <v>-0.0504444292891404</v>
      </c>
      <c r="L629" s="2" t="str">
        <f aca="false">IF(K629="","",IF(ABS(K629)&gt;0.05,"CHECK","OK"))</f>
        <v>CHECK</v>
      </c>
    </row>
    <row r="630" customFormat="false" ht="15" hidden="false" customHeight="false" outlineLevel="0" collapsed="false">
      <c r="A630" s="2" t="s">
        <v>66</v>
      </c>
      <c r="B630" s="2" t="n">
        <v>2014</v>
      </c>
      <c r="C630" s="2" t="s">
        <v>84</v>
      </c>
      <c r="D630" s="3" t="n">
        <v>229561</v>
      </c>
      <c r="E630" s="3" t="n">
        <v>180726</v>
      </c>
      <c r="F630" s="2" t="s">
        <v>14</v>
      </c>
      <c r="G630" s="3" t="n">
        <v>787</v>
      </c>
      <c r="H630" s="2" t="s">
        <v>15</v>
      </c>
      <c r="I630" s="2" t="n">
        <v>1000</v>
      </c>
      <c r="J630" s="4" t="n">
        <f aca="false">IFERROR(E630*I630/D630,"")</f>
        <v>787.267872155985</v>
      </c>
      <c r="K630" s="5" t="n">
        <f aca="false">IFERROR((J630-G630)/G630,"")</f>
        <v>0.000340371227426581</v>
      </c>
      <c r="L630" s="2" t="str">
        <f aca="false">IF(K630="","",IF(ABS(K630)&gt;0.05,"CHECK","OK"))</f>
        <v>OK</v>
      </c>
    </row>
    <row r="631" customFormat="false" ht="15" hidden="false" customHeight="false" outlineLevel="0" collapsed="false">
      <c r="A631" s="2" t="s">
        <v>66</v>
      </c>
      <c r="B631" s="2" t="n">
        <v>2014</v>
      </c>
      <c r="C631" s="2" t="s">
        <v>85</v>
      </c>
      <c r="D631" s="3" t="n">
        <v>373782</v>
      </c>
      <c r="E631" s="3" t="n">
        <v>358895</v>
      </c>
      <c r="F631" s="2" t="s">
        <v>14</v>
      </c>
      <c r="G631" s="3" t="n">
        <v>960</v>
      </c>
      <c r="H631" s="2" t="s">
        <v>15</v>
      </c>
      <c r="I631" s="2" t="n">
        <v>1000</v>
      </c>
      <c r="J631" s="4" t="n">
        <f aca="false">IFERROR(E631*I631/D631,"")</f>
        <v>960.171971898058</v>
      </c>
      <c r="K631" s="5" t="n">
        <f aca="false">IFERROR((J631-G631)/G631,"")</f>
        <v>0.000179137393810673</v>
      </c>
      <c r="L631" s="2" t="str">
        <f aca="false">IF(K631="","",IF(ABS(K631)&gt;0.05,"CHECK","OK"))</f>
        <v>OK</v>
      </c>
    </row>
    <row r="632" customFormat="false" ht="15" hidden="false" customHeight="false" outlineLevel="0" collapsed="false">
      <c r="A632" s="2" t="s">
        <v>67</v>
      </c>
      <c r="B632" s="2" t="n">
        <v>2015</v>
      </c>
      <c r="C632" s="2" t="s">
        <v>83</v>
      </c>
      <c r="D632" s="3" t="n">
        <v>4876</v>
      </c>
      <c r="E632" s="3" t="n">
        <v>3176</v>
      </c>
      <c r="F632" s="2" t="s">
        <v>14</v>
      </c>
      <c r="G632" s="3" t="n">
        <v>652</v>
      </c>
      <c r="H632" s="2" t="s">
        <v>15</v>
      </c>
      <c r="I632" s="2" t="n">
        <v>1000</v>
      </c>
      <c r="J632" s="4" t="n">
        <f aca="false">IFERROR(E632*I632/D632,"")</f>
        <v>651.35356849877</v>
      </c>
      <c r="K632" s="5" t="n">
        <f aca="false">IFERROR((J632-G632)/G632,"")</f>
        <v>-0.000991459357715483</v>
      </c>
      <c r="L632" s="2" t="str">
        <f aca="false">IF(K632="","",IF(ABS(K632)&gt;0.05,"CHECK","OK"))</f>
        <v>OK</v>
      </c>
    </row>
    <row r="633" customFormat="false" ht="15" hidden="false" customHeight="false" outlineLevel="0" collapsed="false">
      <c r="A633" s="2" t="s">
        <v>67</v>
      </c>
      <c r="B633" s="2" t="n">
        <v>2015</v>
      </c>
      <c r="C633" s="2" t="s">
        <v>84</v>
      </c>
      <c r="D633" s="3" t="n">
        <v>238842</v>
      </c>
      <c r="E633" s="3" t="n">
        <v>134246</v>
      </c>
      <c r="F633" s="2" t="s">
        <v>14</v>
      </c>
      <c r="G633" s="3" t="n">
        <v>562</v>
      </c>
      <c r="H633" s="2" t="s">
        <v>15</v>
      </c>
      <c r="I633" s="2" t="n">
        <v>1000</v>
      </c>
      <c r="J633" s="4" t="n">
        <f aca="false">IFERROR(E633*I633/D633,"")</f>
        <v>562.070322640072</v>
      </c>
      <c r="K633" s="5" t="n">
        <f aca="false">IFERROR((J633-G633)/G633,"")</f>
        <v>0.000125129252796634</v>
      </c>
      <c r="L633" s="2" t="str">
        <f aca="false">IF(K633="","",IF(ABS(K633)&gt;0.05,"CHECK","OK"))</f>
        <v>OK</v>
      </c>
    </row>
    <row r="634" customFormat="false" ht="15" hidden="false" customHeight="false" outlineLevel="0" collapsed="false">
      <c r="A634" s="2" t="s">
        <v>67</v>
      </c>
      <c r="B634" s="2" t="n">
        <v>2015</v>
      </c>
      <c r="C634" s="2" t="s">
        <v>85</v>
      </c>
      <c r="D634" s="3" t="n">
        <v>395186</v>
      </c>
      <c r="E634" s="3" t="n">
        <v>276371</v>
      </c>
      <c r="F634" s="2" t="s">
        <v>14</v>
      </c>
      <c r="G634" s="3" t="n">
        <v>699</v>
      </c>
      <c r="H634" s="2" t="s">
        <v>15</v>
      </c>
      <c r="I634" s="2" t="n">
        <v>1000</v>
      </c>
      <c r="J634" s="4" t="n">
        <f aca="false">IFERROR(E634*I634/D634,"")</f>
        <v>699.344106319556</v>
      </c>
      <c r="K634" s="5" t="n">
        <f aca="false">IFERROR((J634-G634)/G634,"")</f>
        <v>0.000492283718964038</v>
      </c>
      <c r="L634" s="2" t="str">
        <f aca="false">IF(K634="","",IF(ABS(K634)&gt;0.05,"CHECK","OK"))</f>
        <v>OK</v>
      </c>
    </row>
    <row r="635" customFormat="false" ht="15" hidden="false" customHeight="false" outlineLevel="0" collapsed="false">
      <c r="A635" s="2" t="s">
        <v>68</v>
      </c>
      <c r="B635" s="2" t="n">
        <v>2016</v>
      </c>
      <c r="C635" s="2" t="s">
        <v>83</v>
      </c>
      <c r="D635" s="3" t="n">
        <v>5227</v>
      </c>
      <c r="E635" s="3" t="n">
        <v>3394</v>
      </c>
      <c r="F635" s="2" t="s">
        <v>14</v>
      </c>
      <c r="G635" s="3" t="n">
        <v>649</v>
      </c>
      <c r="H635" s="2" t="s">
        <v>15</v>
      </c>
      <c r="I635" s="2" t="n">
        <v>1000</v>
      </c>
      <c r="J635" s="4" t="n">
        <f aca="false">IFERROR(E635*I635/D635,"")</f>
        <v>649.320834130476</v>
      </c>
      <c r="K635" s="5" t="n">
        <f aca="false">IFERROR((J635-G635)/G635,"")</f>
        <v>0.00049435151074935</v>
      </c>
      <c r="L635" s="2" t="str">
        <f aca="false">IF(K635="","",IF(ABS(K635)&gt;0.05,"CHECK","OK"))</f>
        <v>OK</v>
      </c>
    </row>
    <row r="636" customFormat="false" ht="15" hidden="false" customHeight="false" outlineLevel="0" collapsed="false">
      <c r="A636" s="2" t="s">
        <v>68</v>
      </c>
      <c r="B636" s="2" t="n">
        <v>2016</v>
      </c>
      <c r="C636" s="2" t="s">
        <v>84</v>
      </c>
      <c r="D636" s="3" t="n">
        <v>165974</v>
      </c>
      <c r="E636" s="3" t="n">
        <v>56087</v>
      </c>
      <c r="F636" s="2" t="s">
        <v>14</v>
      </c>
      <c r="G636" s="3" t="n">
        <v>338</v>
      </c>
      <c r="H636" s="2" t="s">
        <v>15</v>
      </c>
      <c r="I636" s="2" t="n">
        <v>1000</v>
      </c>
      <c r="J636" s="4" t="n">
        <f aca="false">IFERROR(E636*I636/D636,"")</f>
        <v>337.926422210708</v>
      </c>
      <c r="K636" s="5" t="n">
        <f aca="false">IFERROR((J636-G636)/G636,"")</f>
        <v>-0.000217685767136985</v>
      </c>
      <c r="L636" s="2" t="str">
        <f aca="false">IF(K636="","",IF(ABS(K636)&gt;0.05,"CHECK","OK"))</f>
        <v>OK</v>
      </c>
    </row>
    <row r="637" customFormat="false" ht="15" hidden="false" customHeight="false" outlineLevel="0" collapsed="false">
      <c r="A637" s="2" t="s">
        <v>68</v>
      </c>
      <c r="B637" s="2" t="n">
        <v>2016</v>
      </c>
      <c r="C637" s="2" t="s">
        <v>85</v>
      </c>
      <c r="D637" s="3" t="n">
        <v>429784</v>
      </c>
      <c r="E637" s="3" t="n">
        <v>184610</v>
      </c>
      <c r="F637" s="2" t="s">
        <v>14</v>
      </c>
      <c r="G637" s="3" t="n">
        <v>430</v>
      </c>
      <c r="H637" s="2" t="s">
        <v>15</v>
      </c>
      <c r="I637" s="2" t="n">
        <v>1000</v>
      </c>
      <c r="J637" s="4" t="n">
        <f aca="false">IFERROR(E637*I637/D637,"")</f>
        <v>429.541351004225</v>
      </c>
      <c r="K637" s="5" t="n">
        <f aca="false">IFERROR((J637-G637)/G637,"")</f>
        <v>-0.00106662557156893</v>
      </c>
      <c r="L637" s="2" t="str">
        <f aca="false">IF(K637="","",IF(ABS(K637)&gt;0.05,"CHECK","OK"))</f>
        <v>OK</v>
      </c>
    </row>
    <row r="638" customFormat="false" ht="15" hidden="false" customHeight="false" outlineLevel="0" collapsed="false">
      <c r="A638" s="2" t="s">
        <v>69</v>
      </c>
      <c r="B638" s="2" t="n">
        <v>2017</v>
      </c>
      <c r="C638" s="2" t="s">
        <v>83</v>
      </c>
      <c r="D638" s="3" t="n">
        <v>5205</v>
      </c>
      <c r="E638" s="3" t="n">
        <v>4820</v>
      </c>
      <c r="F638" s="2" t="s">
        <v>14</v>
      </c>
      <c r="G638" s="3" t="n">
        <v>926</v>
      </c>
      <c r="H638" s="2" t="s">
        <v>15</v>
      </c>
      <c r="I638" s="2" t="n">
        <v>1000</v>
      </c>
      <c r="J638" s="4" t="n">
        <f aca="false">IFERROR(E638*I638/D638,"")</f>
        <v>926.032660902978</v>
      </c>
      <c r="K638" s="5" t="n">
        <f aca="false">IFERROR((J638-G638)/G638,"")</f>
        <v>3.52709535398588E-005</v>
      </c>
      <c r="L638" s="2" t="str">
        <f aca="false">IF(K638="","",IF(ABS(K638)&gt;0.05,"CHECK","OK"))</f>
        <v>OK</v>
      </c>
    </row>
    <row r="639" customFormat="false" ht="15" hidden="false" customHeight="false" outlineLevel="0" collapsed="false">
      <c r="A639" s="2" t="s">
        <v>69</v>
      </c>
      <c r="B639" s="2" t="n">
        <v>2017</v>
      </c>
      <c r="C639" s="2" t="s">
        <v>84</v>
      </c>
      <c r="D639" s="3" t="n">
        <v>180587</v>
      </c>
      <c r="E639" s="3" t="n">
        <v>78259</v>
      </c>
      <c r="F639" s="2" t="s">
        <v>14</v>
      </c>
      <c r="G639" s="3" t="n">
        <v>433</v>
      </c>
      <c r="H639" s="2" t="s">
        <v>15</v>
      </c>
      <c r="I639" s="2" t="n">
        <v>1000</v>
      </c>
      <c r="J639" s="4" t="n">
        <f aca="false">IFERROR(E639*I639/D639,"")</f>
        <v>433.358990403517</v>
      </c>
      <c r="K639" s="5" t="n">
        <f aca="false">IFERROR((J639-G639)/G639,"")</f>
        <v>0.000829077144381977</v>
      </c>
      <c r="L639" s="2" t="str">
        <f aca="false">IF(K639="","",IF(ABS(K639)&gt;0.05,"CHECK","OK"))</f>
        <v>OK</v>
      </c>
    </row>
    <row r="640" customFormat="false" ht="15" hidden="false" customHeight="false" outlineLevel="0" collapsed="false">
      <c r="A640" s="2" t="s">
        <v>69</v>
      </c>
      <c r="B640" s="2" t="n">
        <v>2017</v>
      </c>
      <c r="C640" s="2" t="s">
        <v>85</v>
      </c>
      <c r="D640" s="3" t="n">
        <v>426332</v>
      </c>
      <c r="E640" s="3" t="n">
        <v>301662</v>
      </c>
      <c r="F640" s="2" t="s">
        <v>14</v>
      </c>
      <c r="G640" s="3" t="n">
        <v>707</v>
      </c>
      <c r="H640" s="2" t="s">
        <v>15</v>
      </c>
      <c r="I640" s="2" t="n">
        <v>1000</v>
      </c>
      <c r="J640" s="4" t="n">
        <f aca="false">IFERROR(E640*I640/D640,"")</f>
        <v>707.575316889185</v>
      </c>
      <c r="K640" s="5" t="n">
        <f aca="false">IFERROR((J640-G640)/G640,"")</f>
        <v>0.000813743831944742</v>
      </c>
      <c r="L640" s="2" t="str">
        <f aca="false">IF(K640="","",IF(ABS(K640)&gt;0.05,"CHECK","OK"))</f>
        <v>OK</v>
      </c>
    </row>
    <row r="641" customFormat="false" ht="15" hidden="false" customHeight="false" outlineLevel="0" collapsed="false">
      <c r="A641" s="2" t="s">
        <v>70</v>
      </c>
      <c r="B641" s="2" t="n">
        <v>2018</v>
      </c>
      <c r="C641" s="2" t="s">
        <v>83</v>
      </c>
      <c r="D641" s="3" t="n">
        <v>5851</v>
      </c>
      <c r="E641" s="3" t="n">
        <v>5418</v>
      </c>
      <c r="F641" s="2" t="s">
        <v>14</v>
      </c>
      <c r="G641" s="3" t="n">
        <v>926</v>
      </c>
      <c r="H641" s="2" t="s">
        <v>15</v>
      </c>
      <c r="I641" s="2" t="n">
        <v>1000</v>
      </c>
      <c r="J641" s="4" t="n">
        <f aca="false">IFERROR(E641*I641/D641,"")</f>
        <v>925.99555631516</v>
      </c>
      <c r="K641" s="5" t="n">
        <f aca="false">IFERROR((J641-G641)/G641,"")</f>
        <v>-4.79879572378576E-006</v>
      </c>
      <c r="L641" s="2" t="str">
        <f aca="false">IF(K641="","",IF(ABS(K641)&gt;0.05,"CHECK","OK"))</f>
        <v>OK</v>
      </c>
    </row>
    <row r="642" customFormat="false" ht="15" hidden="false" customHeight="false" outlineLevel="0" collapsed="false">
      <c r="A642" s="2" t="s">
        <v>70</v>
      </c>
      <c r="B642" s="2" t="n">
        <v>2018</v>
      </c>
      <c r="C642" s="2" t="s">
        <v>84</v>
      </c>
      <c r="D642" s="3" t="n">
        <v>170318</v>
      </c>
      <c r="E642" s="3" t="n">
        <v>76862</v>
      </c>
      <c r="F642" s="2" t="s">
        <v>14</v>
      </c>
      <c r="G642" s="3" t="n">
        <v>451</v>
      </c>
      <c r="H642" s="2" t="s">
        <v>15</v>
      </c>
      <c r="I642" s="2" t="n">
        <v>1000</v>
      </c>
      <c r="J642" s="4" t="n">
        <f aca="false">IFERROR(E642*I642/D642,"")</f>
        <v>451.285242898578</v>
      </c>
      <c r="K642" s="5" t="n">
        <f aca="false">IFERROR((J642-G642)/G642,"")</f>
        <v>0.00063246762434138</v>
      </c>
      <c r="L642" s="2" t="str">
        <f aca="false">IF(K642="","",IF(ABS(K642)&gt;0.05,"CHECK","OK"))</f>
        <v>OK</v>
      </c>
    </row>
    <row r="643" customFormat="false" ht="15" hidden="false" customHeight="false" outlineLevel="0" collapsed="false">
      <c r="A643" s="2" t="s">
        <v>70</v>
      </c>
      <c r="B643" s="2" t="n">
        <v>2018</v>
      </c>
      <c r="C643" s="2" t="s">
        <v>85</v>
      </c>
      <c r="D643" s="3" t="n">
        <v>440974</v>
      </c>
      <c r="E643" s="3" t="n">
        <v>274307</v>
      </c>
      <c r="F643" s="2" t="s">
        <v>14</v>
      </c>
      <c r="G643" s="3" t="n">
        <v>622</v>
      </c>
      <c r="H643" s="2" t="s">
        <v>15</v>
      </c>
      <c r="I643" s="2" t="n">
        <v>1000</v>
      </c>
      <c r="J643" s="4" t="n">
        <f aca="false">IFERROR(E643*I643/D643,"")</f>
        <v>622.048011900928</v>
      </c>
      <c r="K643" s="5" t="n">
        <f aca="false">IFERROR((J643-G643)/G643,"")</f>
        <v>7.71895513317887E-005</v>
      </c>
      <c r="L643" s="2" t="str">
        <f aca="false">IF(K643="","",IF(ABS(K643)&gt;0.05,"CHECK","OK"))</f>
        <v>OK</v>
      </c>
    </row>
    <row r="644" customFormat="false" ht="15" hidden="false" customHeight="false" outlineLevel="0" collapsed="false">
      <c r="A644" s="2" t="s">
        <v>71</v>
      </c>
      <c r="B644" s="2" t="n">
        <v>2019</v>
      </c>
      <c r="C644" s="2" t="s">
        <v>83</v>
      </c>
      <c r="D644" s="3" t="n">
        <v>5552</v>
      </c>
      <c r="E644" s="3" t="n">
        <v>5138</v>
      </c>
      <c r="F644" s="2" t="s">
        <v>14</v>
      </c>
      <c r="G644" s="3" t="n">
        <v>926</v>
      </c>
      <c r="H644" s="2" t="s">
        <v>15</v>
      </c>
      <c r="I644" s="2" t="n">
        <v>1000</v>
      </c>
      <c r="J644" s="4" t="n">
        <f aca="false">IFERROR(E644*I644/D644,"")</f>
        <v>925.432276657061</v>
      </c>
      <c r="K644" s="5" t="n">
        <f aca="false">IFERROR((J644-G644)/G644,"")</f>
        <v>-0.000613092163001652</v>
      </c>
      <c r="L644" s="2" t="str">
        <f aca="false">IF(K644="","",IF(ABS(K644)&gt;0.05,"CHECK","OK"))</f>
        <v>OK</v>
      </c>
    </row>
    <row r="645" customFormat="false" ht="15" hidden="false" customHeight="false" outlineLevel="0" collapsed="false">
      <c r="A645" s="2" t="s">
        <v>71</v>
      </c>
      <c r="B645" s="2" t="n">
        <v>2019</v>
      </c>
      <c r="C645" s="2" t="s">
        <v>84</v>
      </c>
      <c r="D645" s="3" t="n">
        <v>171938</v>
      </c>
      <c r="E645" s="3" t="n">
        <v>76414</v>
      </c>
      <c r="F645" s="2" t="s">
        <v>14</v>
      </c>
      <c r="G645" s="3" t="n">
        <v>444</v>
      </c>
      <c r="H645" s="2" t="s">
        <v>15</v>
      </c>
      <c r="I645" s="2" t="n">
        <v>1000</v>
      </c>
      <c r="J645" s="4" t="n">
        <f aca="false">IFERROR(E645*I645/D645,"")</f>
        <v>444.427642522305</v>
      </c>
      <c r="K645" s="5" t="n">
        <f aca="false">IFERROR((J645-G645)/G645,"")</f>
        <v>0.000963158834019262</v>
      </c>
      <c r="L645" s="2" t="str">
        <f aca="false">IF(K645="","",IF(ABS(K645)&gt;0.05,"CHECK","OK"))</f>
        <v>OK</v>
      </c>
    </row>
    <row r="646" customFormat="false" ht="15" hidden="false" customHeight="false" outlineLevel="0" collapsed="false">
      <c r="A646" s="2" t="s">
        <v>71</v>
      </c>
      <c r="B646" s="2" t="n">
        <v>2019</v>
      </c>
      <c r="C646" s="2" t="s">
        <v>85</v>
      </c>
      <c r="D646" s="3" t="n">
        <v>405323</v>
      </c>
      <c r="E646" s="3" t="n">
        <v>317423</v>
      </c>
      <c r="F646" s="2" t="s">
        <v>14</v>
      </c>
      <c r="G646" s="3" t="n">
        <v>783</v>
      </c>
      <c r="H646" s="2" t="s">
        <v>15</v>
      </c>
      <c r="I646" s="2" t="n">
        <v>1000</v>
      </c>
      <c r="J646" s="4" t="n">
        <f aca="false">IFERROR(E646*I646/D646,"")</f>
        <v>783.135918761087</v>
      </c>
      <c r="K646" s="5" t="n">
        <f aca="false">IFERROR((J646-G646)/G646,"")</f>
        <v>0.00017358717891038</v>
      </c>
      <c r="L646" s="2" t="str">
        <f aca="false">IF(K646="","",IF(ABS(K646)&gt;0.05,"CHECK","OK"))</f>
        <v>OK</v>
      </c>
    </row>
    <row r="647" customFormat="false" ht="15" hidden="false" customHeight="false" outlineLevel="0" collapsed="false">
      <c r="A647" s="2" t="s">
        <v>72</v>
      </c>
      <c r="B647" s="2" t="n">
        <v>2020</v>
      </c>
      <c r="C647" s="2" t="s">
        <v>83</v>
      </c>
      <c r="D647" s="3" t="n">
        <v>5636</v>
      </c>
      <c r="E647" s="3" t="n">
        <v>5220</v>
      </c>
      <c r="F647" s="2" t="s">
        <v>14</v>
      </c>
      <c r="G647" s="3" t="n">
        <v>926</v>
      </c>
      <c r="H647" s="2" t="s">
        <v>15</v>
      </c>
      <c r="I647" s="2" t="n">
        <v>1000</v>
      </c>
      <c r="J647" s="4" t="n">
        <f aca="false">IFERROR(E647*I647/D647,"")</f>
        <v>926.188786373314</v>
      </c>
      <c r="K647" s="5" t="n">
        <f aca="false">IFERROR((J647-G647)/G647,"")</f>
        <v>0.000203872973341716</v>
      </c>
      <c r="L647" s="2" t="str">
        <f aca="false">IF(K647="","",IF(ABS(K647)&gt;0.05,"CHECK","OK"))</f>
        <v>OK</v>
      </c>
    </row>
    <row r="648" customFormat="false" ht="15" hidden="false" customHeight="false" outlineLevel="0" collapsed="false">
      <c r="A648" s="2" t="s">
        <v>72</v>
      </c>
      <c r="B648" s="2" t="n">
        <v>2020</v>
      </c>
      <c r="C648" s="2" t="s">
        <v>84</v>
      </c>
      <c r="D648" s="3" t="n">
        <v>160559</v>
      </c>
      <c r="E648" s="3" t="n">
        <v>58936</v>
      </c>
      <c r="F648" s="2" t="s">
        <v>14</v>
      </c>
      <c r="G648" s="3" t="n">
        <v>367</v>
      </c>
      <c r="H648" s="2" t="s">
        <v>15</v>
      </c>
      <c r="I648" s="2" t="n">
        <v>1000</v>
      </c>
      <c r="J648" s="4" t="n">
        <f aca="false">IFERROR(E648*I648/D648,"")</f>
        <v>367.067557720215</v>
      </c>
      <c r="K648" s="5" t="n">
        <f aca="false">IFERROR((J648-G648)/G648,"")</f>
        <v>0.00018408098151228</v>
      </c>
      <c r="L648" s="2" t="str">
        <f aca="false">IF(K648="","",IF(ABS(K648)&gt;0.05,"CHECK","OK"))</f>
        <v>OK</v>
      </c>
    </row>
    <row r="649" customFormat="false" ht="15" hidden="false" customHeight="false" outlineLevel="0" collapsed="false">
      <c r="A649" s="2" t="s">
        <v>72</v>
      </c>
      <c r="B649" s="2" t="n">
        <v>2020</v>
      </c>
      <c r="C649" s="2" t="s">
        <v>85</v>
      </c>
      <c r="D649" s="3" t="n">
        <v>402196</v>
      </c>
      <c r="E649" s="3" t="n">
        <v>225009</v>
      </c>
      <c r="F649" s="2" t="s">
        <v>14</v>
      </c>
      <c r="G649" s="3" t="n">
        <v>560</v>
      </c>
      <c r="H649" s="2" t="s">
        <v>15</v>
      </c>
      <c r="I649" s="2" t="n">
        <v>1000</v>
      </c>
      <c r="J649" s="4" t="n">
        <f aca="false">IFERROR(E649*I649/D649,"")</f>
        <v>559.451113387503</v>
      </c>
      <c r="K649" s="5" t="n">
        <f aca="false">IFERROR((J649-G649)/G649,"")</f>
        <v>-0.000980154665173976</v>
      </c>
      <c r="L649" s="2" t="str">
        <f aca="false">IF(K649="","",IF(ABS(K649)&gt;0.05,"CHECK","OK"))</f>
        <v>OK</v>
      </c>
    </row>
    <row r="650" customFormat="false" ht="15" hidden="false" customHeight="false" outlineLevel="0" collapsed="false">
      <c r="A650" s="2" t="s">
        <v>73</v>
      </c>
      <c r="B650" s="2" t="n">
        <v>2021</v>
      </c>
      <c r="C650" s="2" t="s">
        <v>83</v>
      </c>
      <c r="D650" s="3" t="n">
        <v>4065</v>
      </c>
      <c r="E650" s="3" t="n">
        <v>3767</v>
      </c>
      <c r="F650" s="2" t="s">
        <v>14</v>
      </c>
      <c r="G650" s="3" t="n">
        <v>926</v>
      </c>
      <c r="H650" s="2" t="s">
        <v>15</v>
      </c>
      <c r="I650" s="2" t="n">
        <v>1000</v>
      </c>
      <c r="J650" s="4" t="n">
        <f aca="false">IFERROR(E650*I650/D650,"")</f>
        <v>926.691266912669</v>
      </c>
      <c r="K650" s="5" t="n">
        <f aca="false">IFERROR((J650-G650)/G650,"")</f>
        <v>0.000746508544999036</v>
      </c>
      <c r="L650" s="2" t="str">
        <f aca="false">IF(K650="","",IF(ABS(K650)&gt;0.05,"CHECK","OK"))</f>
        <v>OK</v>
      </c>
    </row>
    <row r="651" customFormat="false" ht="15" hidden="false" customHeight="false" outlineLevel="0" collapsed="false">
      <c r="A651" s="2" t="s">
        <v>73</v>
      </c>
      <c r="B651" s="2" t="n">
        <v>2021</v>
      </c>
      <c r="C651" s="2" t="s">
        <v>84</v>
      </c>
      <c r="D651" s="3" t="n">
        <v>164183</v>
      </c>
      <c r="E651" s="3" t="n">
        <v>62166</v>
      </c>
      <c r="F651" s="2" t="s">
        <v>14</v>
      </c>
      <c r="G651" s="3" t="n">
        <v>379</v>
      </c>
      <c r="H651" s="2" t="s">
        <v>15</v>
      </c>
      <c r="I651" s="2" t="n">
        <v>1000</v>
      </c>
      <c r="J651" s="4" t="n">
        <f aca="false">IFERROR(E651*I651/D651,"")</f>
        <v>378.6384704872</v>
      </c>
      <c r="K651" s="5" t="n">
        <f aca="false">IFERROR((J651-G651)/G651,"")</f>
        <v>-0.000953903727703784</v>
      </c>
      <c r="L651" s="2" t="str">
        <f aca="false">IF(K651="","",IF(ABS(K651)&gt;0.05,"CHECK","OK"))</f>
        <v>OK</v>
      </c>
    </row>
    <row r="652" customFormat="false" ht="15" hidden="false" customHeight="false" outlineLevel="0" collapsed="false">
      <c r="A652" s="2" t="s">
        <v>73</v>
      </c>
      <c r="B652" s="2" t="n">
        <v>2021</v>
      </c>
      <c r="C652" s="2" t="s">
        <v>85</v>
      </c>
      <c r="D652" s="3" t="n">
        <v>407247</v>
      </c>
      <c r="E652" s="3" t="n">
        <v>268700</v>
      </c>
      <c r="F652" s="2" t="s">
        <v>14</v>
      </c>
      <c r="G652" s="3" t="n">
        <v>660</v>
      </c>
      <c r="H652" s="2" t="s">
        <v>15</v>
      </c>
      <c r="I652" s="2" t="n">
        <v>1000</v>
      </c>
      <c r="J652" s="4" t="n">
        <f aca="false">IFERROR(E652*I652/D652,"")</f>
        <v>659.79614337245</v>
      </c>
      <c r="K652" s="5" t="n">
        <f aca="false">IFERROR((J652-G652)/G652,"")</f>
        <v>-0.000308873678106679</v>
      </c>
      <c r="L652" s="2" t="str">
        <f aca="false">IF(K652="","",IF(ABS(K652)&gt;0.05,"CHECK","OK"))</f>
        <v>OK</v>
      </c>
    </row>
    <row r="653" customFormat="false" ht="15" hidden="false" customHeight="false" outlineLevel="0" collapsed="false">
      <c r="A653" s="2" t="s">
        <v>74</v>
      </c>
      <c r="B653" s="2" t="n">
        <v>2022</v>
      </c>
      <c r="C653" s="2" t="s">
        <v>83</v>
      </c>
      <c r="D653" s="3" t="n">
        <v>3836</v>
      </c>
      <c r="E653" s="3" t="n">
        <v>3552</v>
      </c>
      <c r="F653" s="2" t="s">
        <v>14</v>
      </c>
      <c r="G653" s="3" t="n">
        <v>926</v>
      </c>
      <c r="H653" s="2" t="s">
        <v>15</v>
      </c>
      <c r="I653" s="2" t="n">
        <v>1000</v>
      </c>
      <c r="J653" s="4" t="n">
        <f aca="false">IFERROR(E653*I653/D653,"")</f>
        <v>925.964546402503</v>
      </c>
      <c r="K653" s="5" t="n">
        <f aca="false">IFERROR((J653-G653)/G653,"")</f>
        <v>-3.82868223513976E-005</v>
      </c>
      <c r="L653" s="2" t="str">
        <f aca="false">IF(K653="","",IF(ABS(K653)&gt;0.05,"CHECK","OK"))</f>
        <v>OK</v>
      </c>
    </row>
    <row r="654" customFormat="false" ht="15" hidden="false" customHeight="false" outlineLevel="0" collapsed="false">
      <c r="A654" s="2" t="s">
        <v>74</v>
      </c>
      <c r="B654" s="2" t="n">
        <v>2022</v>
      </c>
      <c r="C654" s="2" t="s">
        <v>84</v>
      </c>
      <c r="D654" s="3" t="n">
        <v>166350</v>
      </c>
      <c r="E654" s="3" t="n">
        <v>60048</v>
      </c>
      <c r="F654" s="2" t="s">
        <v>14</v>
      </c>
      <c r="G654" s="3" t="n">
        <v>361</v>
      </c>
      <c r="H654" s="2" t="s">
        <v>15</v>
      </c>
      <c r="I654" s="2" t="n">
        <v>1000</v>
      </c>
      <c r="J654" s="4" t="n">
        <f aca="false">IFERROR(E654*I654/D654,"")</f>
        <v>360.9738503156</v>
      </c>
      <c r="K654" s="5" t="n">
        <f aca="false">IFERROR((J654-G654)/G654,"")</f>
        <v>-7.24367988929804E-005</v>
      </c>
      <c r="L654" s="2" t="str">
        <f aca="false">IF(K654="","",IF(ABS(K654)&gt;0.05,"CHECK","OK"))</f>
        <v>OK</v>
      </c>
    </row>
    <row r="655" customFormat="false" ht="15" hidden="false" customHeight="false" outlineLevel="0" collapsed="false">
      <c r="A655" s="2" t="s">
        <v>74</v>
      </c>
      <c r="B655" s="2" t="n">
        <v>2022</v>
      </c>
      <c r="C655" s="2" t="s">
        <v>85</v>
      </c>
      <c r="D655" s="3" t="n">
        <v>396544</v>
      </c>
      <c r="E655" s="3" t="n">
        <v>267825</v>
      </c>
      <c r="F655" s="2" t="s">
        <v>14</v>
      </c>
      <c r="G655" s="3" t="n">
        <v>675</v>
      </c>
      <c r="H655" s="2" t="s">
        <v>15</v>
      </c>
      <c r="I655" s="2" t="n">
        <v>1000</v>
      </c>
      <c r="J655" s="4" t="n">
        <f aca="false">IFERROR(E655*I655/D655,"")</f>
        <v>675.397938185926</v>
      </c>
      <c r="K655" s="5" t="n">
        <f aca="false">IFERROR((J655-G655)/G655,"")</f>
        <v>0.000589538053224243</v>
      </c>
      <c r="L655" s="2" t="str">
        <f aca="false">IF(K655="","",IF(ABS(K655)&gt;0.05,"CHECK","OK"))</f>
        <v>OK</v>
      </c>
    </row>
    <row r="656" customFormat="false" ht="15" hidden="false" customHeight="false" outlineLevel="0" collapsed="false">
      <c r="A656" s="2" t="s">
        <v>75</v>
      </c>
      <c r="B656" s="2" t="n">
        <v>2023</v>
      </c>
      <c r="C656" s="2" t="s">
        <v>83</v>
      </c>
      <c r="D656" s="3" t="n">
        <v>3440</v>
      </c>
      <c r="E656" s="3" t="n">
        <v>3185</v>
      </c>
      <c r="F656" s="2" t="s">
        <v>14</v>
      </c>
      <c r="G656" s="3" t="n">
        <v>926</v>
      </c>
      <c r="H656" s="2" t="s">
        <v>15</v>
      </c>
      <c r="I656" s="2" t="n">
        <v>1000</v>
      </c>
      <c r="J656" s="4" t="n">
        <f aca="false">IFERROR(E656*I656/D656,"")</f>
        <v>925.872093023256</v>
      </c>
      <c r="K656" s="5" t="n">
        <f aca="false">IFERROR((J656-G656)/G656,"")</f>
        <v>-0.000138128484604921</v>
      </c>
      <c r="L656" s="2" t="str">
        <f aca="false">IF(K656="","",IF(ABS(K656)&gt;0.05,"CHECK","OK"))</f>
        <v>OK</v>
      </c>
    </row>
    <row r="657" customFormat="false" ht="15" hidden="false" customHeight="false" outlineLevel="0" collapsed="false">
      <c r="A657" s="2" t="s">
        <v>75</v>
      </c>
      <c r="B657" s="2" t="n">
        <v>2023</v>
      </c>
      <c r="C657" s="2" t="s">
        <v>84</v>
      </c>
      <c r="D657" s="3" t="n">
        <v>127328</v>
      </c>
      <c r="E657" s="3" t="n">
        <v>42143</v>
      </c>
      <c r="F657" s="2" t="s">
        <v>14</v>
      </c>
      <c r="G657" s="3" t="n">
        <v>331</v>
      </c>
      <c r="H657" s="2" t="s">
        <v>15</v>
      </c>
      <c r="I657" s="2" t="n">
        <v>1000</v>
      </c>
      <c r="J657" s="4" t="n">
        <f aca="false">IFERROR(E657*I657/D657,"")</f>
        <v>330.979831615984</v>
      </c>
      <c r="K657" s="5" t="n">
        <f aca="false">IFERROR((J657-G657)/G657,"")</f>
        <v>-6.09316737645741E-005</v>
      </c>
      <c r="L657" s="2" t="str">
        <f aca="false">IF(K657="","",IF(ABS(K657)&gt;0.05,"CHECK","OK"))</f>
        <v>OK</v>
      </c>
    </row>
    <row r="658" customFormat="false" ht="15" hidden="false" customHeight="false" outlineLevel="0" collapsed="false">
      <c r="A658" s="2" t="s">
        <v>75</v>
      </c>
      <c r="B658" s="2" t="n">
        <v>2023</v>
      </c>
      <c r="C658" s="2" t="s">
        <v>85</v>
      </c>
      <c r="D658" s="3" t="n">
        <v>354917</v>
      </c>
      <c r="E658" s="3" t="n">
        <v>179261</v>
      </c>
      <c r="F658" s="2" t="s">
        <v>14</v>
      </c>
      <c r="G658" s="3" t="n">
        <v>505</v>
      </c>
      <c r="H658" s="2" t="s">
        <v>15</v>
      </c>
      <c r="I658" s="2" t="n">
        <v>1000</v>
      </c>
      <c r="J658" s="4" t="n">
        <f aca="false">IFERROR(E658*I658/D658,"")</f>
        <v>505.078652191921</v>
      </c>
      <c r="K658" s="5" t="n">
        <f aca="false">IFERROR((J658-G658)/G658,"")</f>
        <v>0.000155746914694898</v>
      </c>
      <c r="L658" s="2" t="str">
        <f aca="false">IF(K658="","",IF(ABS(K658)&gt;0.05,"CHECK","OK"))</f>
        <v>OK</v>
      </c>
    </row>
    <row r="659" customFormat="false" ht="15" hidden="false" customHeight="false" outlineLevel="0" collapsed="false">
      <c r="A659" s="2" t="s">
        <v>76</v>
      </c>
      <c r="B659" s="2" t="n">
        <v>2024</v>
      </c>
      <c r="C659" s="2" t="s">
        <v>83</v>
      </c>
      <c r="D659" s="3" t="n">
        <v>3531</v>
      </c>
      <c r="E659" s="3" t="n">
        <v>3270</v>
      </c>
      <c r="F659" s="2" t="s">
        <v>14</v>
      </c>
      <c r="G659" s="3" t="n">
        <v>926</v>
      </c>
      <c r="H659" s="2" t="s">
        <v>15</v>
      </c>
      <c r="I659" s="2" t="n">
        <v>1000</v>
      </c>
      <c r="J659" s="4" t="n">
        <f aca="false">IFERROR(E659*I659/D659,"")</f>
        <v>926.083262531861</v>
      </c>
      <c r="K659" s="5" t="n">
        <f aca="false">IFERROR((J659-G659)/G659,"")</f>
        <v>8.99163411022341E-005</v>
      </c>
      <c r="L659" s="2" t="str">
        <f aca="false">IF(K659="","",IF(ABS(K659)&gt;0.05,"CHECK","OK"))</f>
        <v>OK</v>
      </c>
    </row>
    <row r="660" customFormat="false" ht="15" hidden="false" customHeight="false" outlineLevel="0" collapsed="false">
      <c r="A660" s="2" t="s">
        <v>76</v>
      </c>
      <c r="B660" s="2" t="n">
        <v>2024</v>
      </c>
      <c r="C660" s="2" t="s">
        <v>84</v>
      </c>
      <c r="D660" s="3" t="n">
        <v>130338</v>
      </c>
      <c r="E660" s="3" t="n">
        <v>37840</v>
      </c>
      <c r="F660" s="2" t="s">
        <v>14</v>
      </c>
      <c r="G660" s="3" t="n">
        <v>290</v>
      </c>
      <c r="H660" s="2" t="s">
        <v>15</v>
      </c>
      <c r="I660" s="2" t="n">
        <v>1000</v>
      </c>
      <c r="J660" s="4" t="n">
        <f aca="false">IFERROR(E660*I660/D660,"")</f>
        <v>290.322085654222</v>
      </c>
      <c r="K660" s="5" t="n">
        <f aca="false">IFERROR((J660-G660)/G660,"")</f>
        <v>0.00111064018697283</v>
      </c>
      <c r="L660" s="2" t="str">
        <f aca="false">IF(K660="","",IF(ABS(K660)&gt;0.05,"CHECK","OK"))</f>
        <v>OK</v>
      </c>
    </row>
    <row r="661" customFormat="false" ht="15" hidden="false" customHeight="false" outlineLevel="0" collapsed="false">
      <c r="A661" s="2" t="s">
        <v>76</v>
      </c>
      <c r="B661" s="2" t="n">
        <v>2024</v>
      </c>
      <c r="C661" s="2" t="s">
        <v>85</v>
      </c>
      <c r="D661" s="3" t="n">
        <v>357564</v>
      </c>
      <c r="E661" s="3" t="n">
        <v>166120</v>
      </c>
      <c r="F661" s="2" t="s">
        <v>14</v>
      </c>
      <c r="G661" s="3" t="n">
        <v>465</v>
      </c>
      <c r="H661" s="2" t="s">
        <v>15</v>
      </c>
      <c r="I661" s="2" t="n">
        <v>1000</v>
      </c>
      <c r="J661" s="4" t="n">
        <f aca="false">IFERROR(E661*I661/D661,"")</f>
        <v>464.588157644506</v>
      </c>
      <c r="K661" s="5" t="n">
        <f aca="false">IFERROR((J661-G661)/G661,"")</f>
        <v>-0.000885682484934194</v>
      </c>
      <c r="L661" s="2" t="str">
        <f aca="false">IF(K661="","",IF(ABS(K661)&gt;0.05,"CHECK","OK"))</f>
        <v>OK</v>
      </c>
    </row>
    <row r="662" customFormat="false" ht="15" hidden="false" customHeight="false" outlineLevel="0" collapsed="false">
      <c r="A662" s="2" t="s">
        <v>12</v>
      </c>
      <c r="B662" s="2" t="n">
        <v>1965</v>
      </c>
      <c r="C662" s="2" t="s">
        <v>86</v>
      </c>
      <c r="D662" s="3" t="n">
        <v>200790</v>
      </c>
      <c r="E662" s="3" t="n">
        <v>42460</v>
      </c>
      <c r="F662" s="2" t="s">
        <v>14</v>
      </c>
      <c r="G662" s="3" t="n">
        <v>211</v>
      </c>
      <c r="H662" s="2" t="s">
        <v>15</v>
      </c>
      <c r="I662" s="2" t="n">
        <v>1000</v>
      </c>
      <c r="J662" s="4" t="n">
        <f aca="false">IFERROR(E662*I662/D662,"")</f>
        <v>211.464714378206</v>
      </c>
      <c r="K662" s="5" t="n">
        <f aca="false">IFERROR((J662-G662)/G662,"")</f>
        <v>0.00220243781140323</v>
      </c>
      <c r="L662" s="2" t="str">
        <f aca="false">IF(K662="","",IF(ABS(K662)&gt;0.05,"CHECK","OK"))</f>
        <v>OK</v>
      </c>
    </row>
    <row r="663" customFormat="false" ht="15" hidden="false" customHeight="false" outlineLevel="0" collapsed="false">
      <c r="A663" s="2" t="s">
        <v>12</v>
      </c>
      <c r="B663" s="2" t="n">
        <v>1965</v>
      </c>
      <c r="C663" s="2" t="s">
        <v>87</v>
      </c>
      <c r="D663" s="3" t="n">
        <v>397790</v>
      </c>
      <c r="E663" s="3" t="n">
        <v>101960</v>
      </c>
      <c r="F663" s="2" t="s">
        <v>14</v>
      </c>
      <c r="G663" s="3" t="n">
        <v>256</v>
      </c>
      <c r="H663" s="2" t="s">
        <v>15</v>
      </c>
      <c r="I663" s="2" t="n">
        <v>1000</v>
      </c>
      <c r="J663" s="4" t="n">
        <f aca="false">IFERROR(E663*I663/D663,"")</f>
        <v>256.316146710576</v>
      </c>
      <c r="K663" s="5" t="n">
        <f aca="false">IFERROR((J663-G663)/G663,"")</f>
        <v>0.00123494808818725</v>
      </c>
      <c r="L663" s="2" t="str">
        <f aca="false">IF(K663="","",IF(ABS(K663)&gt;0.05,"CHECK","OK"))</f>
        <v>OK</v>
      </c>
    </row>
    <row r="664" customFormat="false" ht="15" hidden="false" customHeight="false" outlineLevel="0" collapsed="false">
      <c r="A664" s="2" t="s">
        <v>18</v>
      </c>
      <c r="B664" s="2" t="n">
        <v>1966</v>
      </c>
      <c r="C664" s="2" t="s">
        <v>86</v>
      </c>
      <c r="D664" s="3" t="n">
        <v>226898</v>
      </c>
      <c r="E664" s="3" t="n">
        <v>48360</v>
      </c>
      <c r="F664" s="2" t="s">
        <v>14</v>
      </c>
      <c r="G664" s="3" t="n">
        <v>213</v>
      </c>
      <c r="H664" s="2" t="s">
        <v>15</v>
      </c>
      <c r="I664" s="2" t="n">
        <v>1000</v>
      </c>
      <c r="J664" s="4" t="n">
        <f aca="false">IFERROR(E664*I664/D664,"")</f>
        <v>213.135417676665</v>
      </c>
      <c r="K664" s="5" t="n">
        <f aca="false">IFERROR((J664-G664)/G664,"")</f>
        <v>0.000635763740212668</v>
      </c>
      <c r="L664" s="2" t="str">
        <f aca="false">IF(K664="","",IF(ABS(K664)&gt;0.05,"CHECK","OK"))</f>
        <v>OK</v>
      </c>
    </row>
    <row r="665" customFormat="false" ht="15" hidden="false" customHeight="false" outlineLevel="0" collapsed="false">
      <c r="A665" s="2" t="s">
        <v>18</v>
      </c>
      <c r="B665" s="2" t="n">
        <v>1966</v>
      </c>
      <c r="C665" s="2" t="s">
        <v>87</v>
      </c>
      <c r="D665" s="3" t="n">
        <v>433591</v>
      </c>
      <c r="E665" s="3" t="n">
        <v>112290</v>
      </c>
      <c r="F665" s="2" t="s">
        <v>14</v>
      </c>
      <c r="G665" s="3" t="n">
        <v>259</v>
      </c>
      <c r="H665" s="2" t="s">
        <v>15</v>
      </c>
      <c r="I665" s="2" t="n">
        <v>1000</v>
      </c>
      <c r="J665" s="4" t="n">
        <f aca="false">IFERROR(E665*I665/D665,"")</f>
        <v>258.976777654518</v>
      </c>
      <c r="K665" s="5" t="n">
        <f aca="false">IFERROR((J665-G665)/G665,"")</f>
        <v>-8.96615655686545E-005</v>
      </c>
      <c r="L665" s="2" t="str">
        <f aca="false">IF(K665="","",IF(ABS(K665)&gt;0.05,"CHECK","OK"))</f>
        <v>OK</v>
      </c>
    </row>
    <row r="666" customFormat="false" ht="15" hidden="false" customHeight="false" outlineLevel="0" collapsed="false">
      <c r="A666" s="2" t="s">
        <v>19</v>
      </c>
      <c r="B666" s="2" t="n">
        <v>1967</v>
      </c>
      <c r="C666" s="2" t="s">
        <v>86</v>
      </c>
      <c r="D666" s="3" t="n">
        <v>232977</v>
      </c>
      <c r="E666" s="3" t="n">
        <v>49110</v>
      </c>
      <c r="F666" s="2" t="s">
        <v>14</v>
      </c>
      <c r="G666" s="3" t="n">
        <v>211</v>
      </c>
      <c r="H666" s="2" t="s">
        <v>15</v>
      </c>
      <c r="I666" s="2" t="n">
        <v>1000</v>
      </c>
      <c r="J666" s="4" t="n">
        <f aca="false">IFERROR(E666*I666/D666,"")</f>
        <v>210.793340115119</v>
      </c>
      <c r="K666" s="5" t="n">
        <f aca="false">IFERROR((J666-G666)/G666,"")</f>
        <v>-0.000979430734034753</v>
      </c>
      <c r="L666" s="2" t="str">
        <f aca="false">IF(K666="","",IF(ABS(K666)&gt;0.05,"CHECK","OK"))</f>
        <v>OK</v>
      </c>
    </row>
    <row r="667" customFormat="false" ht="15" hidden="false" customHeight="false" outlineLevel="0" collapsed="false">
      <c r="A667" s="2" t="s">
        <v>19</v>
      </c>
      <c r="B667" s="2" t="n">
        <v>1967</v>
      </c>
      <c r="C667" s="2" t="s">
        <v>87</v>
      </c>
      <c r="D667" s="3" t="n">
        <v>448275</v>
      </c>
      <c r="E667" s="3" t="n">
        <v>114230</v>
      </c>
      <c r="F667" s="2" t="s">
        <v>14</v>
      </c>
      <c r="G667" s="3" t="n">
        <v>255</v>
      </c>
      <c r="H667" s="2" t="s">
        <v>15</v>
      </c>
      <c r="I667" s="2" t="n">
        <v>1000</v>
      </c>
      <c r="J667" s="4" t="n">
        <f aca="false">IFERROR(E667*I667/D667,"")</f>
        <v>254.821259271652</v>
      </c>
      <c r="K667" s="5" t="n">
        <f aca="false">IFERROR((J667-G667)/G667,"")</f>
        <v>-0.000700944032735486</v>
      </c>
      <c r="L667" s="2" t="str">
        <f aca="false">IF(K667="","",IF(ABS(K667)&gt;0.05,"CHECK","OK"))</f>
        <v>OK</v>
      </c>
    </row>
    <row r="668" customFormat="false" ht="15" hidden="false" customHeight="false" outlineLevel="0" collapsed="false">
      <c r="A668" s="2" t="s">
        <v>20</v>
      </c>
      <c r="B668" s="2" t="n">
        <v>1968</v>
      </c>
      <c r="C668" s="2" t="s">
        <v>86</v>
      </c>
      <c r="D668" s="3" t="n">
        <v>232801</v>
      </c>
      <c r="E668" s="3" t="n">
        <v>49060</v>
      </c>
      <c r="F668" s="2" t="s">
        <v>14</v>
      </c>
      <c r="G668" s="3" t="n">
        <v>211</v>
      </c>
      <c r="H668" s="2" t="s">
        <v>15</v>
      </c>
      <c r="I668" s="2" t="n">
        <v>1000</v>
      </c>
      <c r="J668" s="4" t="n">
        <f aca="false">IFERROR(E668*I668/D668,"")</f>
        <v>210.737926383478</v>
      </c>
      <c r="K668" s="5" t="n">
        <f aca="false">IFERROR((J668-G668)/G668,"")</f>
        <v>-0.00124205505460786</v>
      </c>
      <c r="L668" s="2" t="str">
        <f aca="false">IF(K668="","",IF(ABS(K668)&gt;0.05,"CHECK","OK"))</f>
        <v>OK</v>
      </c>
    </row>
    <row r="669" customFormat="false" ht="15" hidden="false" customHeight="false" outlineLevel="0" collapsed="false">
      <c r="A669" s="2" t="s">
        <v>20</v>
      </c>
      <c r="B669" s="2" t="n">
        <v>1968</v>
      </c>
      <c r="C669" s="2" t="s">
        <v>87</v>
      </c>
      <c r="D669" s="3" t="n">
        <v>439466</v>
      </c>
      <c r="E669" s="3" t="n">
        <v>106120</v>
      </c>
      <c r="F669" s="2" t="s">
        <v>14</v>
      </c>
      <c r="G669" s="3" t="n">
        <v>241</v>
      </c>
      <c r="H669" s="2" t="s">
        <v>15</v>
      </c>
      <c r="I669" s="2" t="n">
        <v>1000</v>
      </c>
      <c r="J669" s="4" t="n">
        <f aca="false">IFERROR(E669*I669/D669,"")</f>
        <v>241.474880878157</v>
      </c>
      <c r="K669" s="5" t="n">
        <f aca="false">IFERROR((J669-G669)/G669,"")</f>
        <v>0.00197046007533893</v>
      </c>
      <c r="L669" s="2" t="str">
        <f aca="false">IF(K669="","",IF(ABS(K669)&gt;0.05,"CHECK","OK"))</f>
        <v>OK</v>
      </c>
    </row>
    <row r="670" customFormat="false" ht="15" hidden="false" customHeight="false" outlineLevel="0" collapsed="false">
      <c r="A670" s="2" t="s">
        <v>21</v>
      </c>
      <c r="B670" s="2" t="n">
        <v>1969</v>
      </c>
      <c r="C670" s="2" t="s">
        <v>86</v>
      </c>
      <c r="D670" s="3" t="n">
        <v>234370</v>
      </c>
      <c r="E670" s="3" t="n">
        <v>50430</v>
      </c>
      <c r="F670" s="2" t="s">
        <v>14</v>
      </c>
      <c r="G670" s="3" t="n">
        <v>215</v>
      </c>
      <c r="H670" s="2" t="s">
        <v>15</v>
      </c>
      <c r="I670" s="2" t="n">
        <v>1000</v>
      </c>
      <c r="J670" s="4" t="n">
        <f aca="false">IFERROR(E670*I670/D670,"")</f>
        <v>215.172590348594</v>
      </c>
      <c r="K670" s="5" t="n">
        <f aca="false">IFERROR((J670-G670)/G670,"")</f>
        <v>0.000802745807414414</v>
      </c>
      <c r="L670" s="2" t="str">
        <f aca="false">IF(K670="","",IF(ABS(K670)&gt;0.05,"CHECK","OK"))</f>
        <v>OK</v>
      </c>
    </row>
    <row r="671" customFormat="false" ht="15" hidden="false" customHeight="false" outlineLevel="0" collapsed="false">
      <c r="A671" s="2" t="s">
        <v>21</v>
      </c>
      <c r="B671" s="2" t="n">
        <v>1969</v>
      </c>
      <c r="C671" s="2" t="s">
        <v>87</v>
      </c>
      <c r="D671" s="3" t="n">
        <v>423782</v>
      </c>
      <c r="E671" s="3" t="n">
        <v>108770</v>
      </c>
      <c r="F671" s="2" t="s">
        <v>14</v>
      </c>
      <c r="G671" s="3" t="n">
        <v>257</v>
      </c>
      <c r="H671" s="2" t="s">
        <v>15</v>
      </c>
      <c r="I671" s="2" t="n">
        <v>1000</v>
      </c>
      <c r="J671" s="4" t="n">
        <f aca="false">IFERROR(E671*I671/D671,"")</f>
        <v>256.664983411282</v>
      </c>
      <c r="K671" s="5" t="n">
        <f aca="false">IFERROR((J671-G671)/G671,"")</f>
        <v>-0.00130356649306534</v>
      </c>
      <c r="L671" s="2" t="str">
        <f aca="false">IF(K671="","",IF(ABS(K671)&gt;0.05,"CHECK","OK"))</f>
        <v>OK</v>
      </c>
    </row>
    <row r="672" customFormat="false" ht="15" hidden="false" customHeight="false" outlineLevel="0" collapsed="false">
      <c r="A672" s="2" t="s">
        <v>22</v>
      </c>
      <c r="B672" s="2" t="n">
        <v>1970</v>
      </c>
      <c r="C672" s="2" t="s">
        <v>86</v>
      </c>
      <c r="D672" s="3" t="n">
        <v>215851</v>
      </c>
      <c r="E672" s="3" t="n">
        <v>46660</v>
      </c>
      <c r="F672" s="2" t="s">
        <v>14</v>
      </c>
      <c r="G672" s="3" t="n">
        <v>216</v>
      </c>
      <c r="H672" s="2" t="s">
        <v>15</v>
      </c>
      <c r="I672" s="2" t="n">
        <v>1000</v>
      </c>
      <c r="J672" s="4" t="n">
        <f aca="false">IFERROR(E672*I672/D672,"")</f>
        <v>216.167634155042</v>
      </c>
      <c r="K672" s="5" t="n">
        <f aca="false">IFERROR((J672-G672)/G672,"")</f>
        <v>0.000776084051120939</v>
      </c>
      <c r="L672" s="2" t="str">
        <f aca="false">IF(K672="","",IF(ABS(K672)&gt;0.05,"CHECK","OK"))</f>
        <v>OK</v>
      </c>
    </row>
    <row r="673" customFormat="false" ht="15" hidden="false" customHeight="false" outlineLevel="0" collapsed="false">
      <c r="A673" s="2" t="s">
        <v>22</v>
      </c>
      <c r="B673" s="2" t="n">
        <v>1970</v>
      </c>
      <c r="C673" s="2" t="s">
        <v>87</v>
      </c>
      <c r="D673" s="3" t="n">
        <v>491571</v>
      </c>
      <c r="E673" s="3" t="n">
        <v>133370</v>
      </c>
      <c r="F673" s="2" t="s">
        <v>14</v>
      </c>
      <c r="G673" s="3" t="n">
        <v>271</v>
      </c>
      <c r="H673" s="2" t="s">
        <v>15</v>
      </c>
      <c r="I673" s="2" t="n">
        <v>1000</v>
      </c>
      <c r="J673" s="4" t="n">
        <f aca="false">IFERROR(E673*I673/D673,"")</f>
        <v>271.313808178269</v>
      </c>
      <c r="K673" s="5" t="n">
        <f aca="false">IFERROR((J673-G673)/G673,"")</f>
        <v>0.00115796375745113</v>
      </c>
      <c r="L673" s="2" t="str">
        <f aca="false">IF(K673="","",IF(ABS(K673)&gt;0.05,"CHECK","OK"))</f>
        <v>OK</v>
      </c>
    </row>
    <row r="674" customFormat="false" ht="15" hidden="false" customHeight="false" outlineLevel="0" collapsed="false">
      <c r="A674" s="2" t="s">
        <v>23</v>
      </c>
      <c r="B674" s="2" t="n">
        <v>1971</v>
      </c>
      <c r="C674" s="2" t="s">
        <v>86</v>
      </c>
      <c r="D674" s="3" t="n">
        <v>223641</v>
      </c>
      <c r="E674" s="3" t="n">
        <v>54680</v>
      </c>
      <c r="F674" s="2" t="s">
        <v>14</v>
      </c>
      <c r="G674" s="3" t="n">
        <v>244</v>
      </c>
      <c r="H674" s="2" t="s">
        <v>15</v>
      </c>
      <c r="I674" s="2" t="n">
        <v>1000</v>
      </c>
      <c r="J674" s="4" t="n">
        <f aca="false">IFERROR(E674*I674/D674,"")</f>
        <v>244.498996159023</v>
      </c>
      <c r="K674" s="5" t="n">
        <f aca="false">IFERROR((J674-G674)/G674,"")</f>
        <v>0.00204506622550291</v>
      </c>
      <c r="L674" s="2" t="str">
        <f aca="false">IF(K674="","",IF(ABS(K674)&gt;0.05,"CHECK","OK"))</f>
        <v>OK</v>
      </c>
    </row>
    <row r="675" customFormat="false" ht="15" hidden="false" customHeight="false" outlineLevel="0" collapsed="false">
      <c r="A675" s="2" t="s">
        <v>23</v>
      </c>
      <c r="B675" s="2" t="n">
        <v>1971</v>
      </c>
      <c r="C675" s="2" t="s">
        <v>87</v>
      </c>
      <c r="D675" s="3" t="n">
        <v>586910</v>
      </c>
      <c r="E675" s="3" t="n">
        <v>196880</v>
      </c>
      <c r="F675" s="2" t="s">
        <v>14</v>
      </c>
      <c r="G675" s="3" t="n">
        <v>335</v>
      </c>
      <c r="H675" s="2" t="s">
        <v>15</v>
      </c>
      <c r="I675" s="2" t="n">
        <v>1000</v>
      </c>
      <c r="J675" s="4" t="n">
        <f aca="false">IFERROR(E675*I675/D675,"")</f>
        <v>335.451772844218</v>
      </c>
      <c r="K675" s="5" t="n">
        <f aca="false">IFERROR((J675-G675)/G675,"")</f>
        <v>0.00134857565438209</v>
      </c>
      <c r="L675" s="2" t="str">
        <f aca="false">IF(K675="","",IF(ABS(K675)&gt;0.05,"CHECK","OK"))</f>
        <v>OK</v>
      </c>
    </row>
    <row r="676" customFormat="false" ht="15" hidden="false" customHeight="false" outlineLevel="0" collapsed="false">
      <c r="A676" s="2" t="s">
        <v>24</v>
      </c>
      <c r="B676" s="2" t="n">
        <v>1972</v>
      </c>
      <c r="C676" s="2" t="s">
        <v>86</v>
      </c>
      <c r="D676" s="3" t="n">
        <v>234436</v>
      </c>
      <c r="E676" s="3" t="n">
        <v>49970</v>
      </c>
      <c r="F676" s="2" t="s">
        <v>14</v>
      </c>
      <c r="G676" s="3" t="n">
        <v>213</v>
      </c>
      <c r="H676" s="2" t="s">
        <v>15</v>
      </c>
      <c r="I676" s="2" t="n">
        <v>1000</v>
      </c>
      <c r="J676" s="4" t="n">
        <f aca="false">IFERROR(E676*I676/D676,"")</f>
        <v>213.149857530413</v>
      </c>
      <c r="K676" s="5" t="n">
        <f aca="false">IFERROR((J676-G676)/G676,"")</f>
        <v>0.000703556480814148</v>
      </c>
      <c r="L676" s="2" t="str">
        <f aca="false">IF(K676="","",IF(ABS(K676)&gt;0.05,"CHECK","OK"))</f>
        <v>OK</v>
      </c>
    </row>
    <row r="677" customFormat="false" ht="15" hidden="false" customHeight="false" outlineLevel="0" collapsed="false">
      <c r="A677" s="2" t="s">
        <v>24</v>
      </c>
      <c r="B677" s="2" t="n">
        <v>1972</v>
      </c>
      <c r="C677" s="2" t="s">
        <v>87</v>
      </c>
      <c r="D677" s="3" t="n">
        <v>650628</v>
      </c>
      <c r="E677" s="3" t="n">
        <v>197170</v>
      </c>
      <c r="F677" s="2" t="s">
        <v>14</v>
      </c>
      <c r="G677" s="3" t="n">
        <v>303</v>
      </c>
      <c r="H677" s="2" t="s">
        <v>15</v>
      </c>
      <c r="I677" s="2" t="n">
        <v>1000</v>
      </c>
      <c r="J677" s="4" t="n">
        <f aca="false">IFERROR(E677*I677/D677,"")</f>
        <v>303.045672796129</v>
      </c>
      <c r="K677" s="5" t="n">
        <f aca="false">IFERROR((J677-G677)/G677,"")</f>
        <v>0.000150735300756704</v>
      </c>
      <c r="L677" s="2" t="str">
        <f aca="false">IF(K677="","",IF(ABS(K677)&gt;0.05,"CHECK","OK"))</f>
        <v>OK</v>
      </c>
    </row>
    <row r="678" customFormat="false" ht="15" hidden="false" customHeight="false" outlineLevel="0" collapsed="false">
      <c r="A678" s="2" t="s">
        <v>25</v>
      </c>
      <c r="B678" s="2" t="n">
        <v>1973</v>
      </c>
      <c r="C678" s="2" t="s">
        <v>86</v>
      </c>
      <c r="D678" s="3" t="n">
        <v>217878</v>
      </c>
      <c r="E678" s="3" t="n">
        <v>46910</v>
      </c>
      <c r="F678" s="2" t="s">
        <v>14</v>
      </c>
      <c r="G678" s="3" t="n">
        <v>215</v>
      </c>
      <c r="H678" s="2" t="s">
        <v>15</v>
      </c>
      <c r="I678" s="2" t="n">
        <v>1000</v>
      </c>
      <c r="J678" s="4" t="n">
        <f aca="false">IFERROR(E678*I678/D678,"")</f>
        <v>215.303977455273</v>
      </c>
      <c r="K678" s="5" t="n">
        <f aca="false">IFERROR((J678-G678)/G678,"")</f>
        <v>0.00141384862917734</v>
      </c>
      <c r="L678" s="2" t="str">
        <f aca="false">IF(K678="","",IF(ABS(K678)&gt;0.05,"CHECK","OK"))</f>
        <v>OK</v>
      </c>
    </row>
    <row r="679" customFormat="false" ht="15" hidden="false" customHeight="false" outlineLevel="0" collapsed="false">
      <c r="A679" s="2" t="s">
        <v>25</v>
      </c>
      <c r="B679" s="2" t="n">
        <v>1973</v>
      </c>
      <c r="C679" s="2" t="s">
        <v>87</v>
      </c>
      <c r="D679" s="3" t="n">
        <v>663415</v>
      </c>
      <c r="E679" s="3" t="n">
        <v>204780</v>
      </c>
      <c r="F679" s="2" t="s">
        <v>14</v>
      </c>
      <c r="G679" s="3" t="n">
        <v>309</v>
      </c>
      <c r="H679" s="2" t="s">
        <v>15</v>
      </c>
      <c r="I679" s="2" t="n">
        <v>1000</v>
      </c>
      <c r="J679" s="4" t="n">
        <f aca="false">IFERROR(E679*I679/D679,"")</f>
        <v>308.675565068622</v>
      </c>
      <c r="K679" s="5" t="n">
        <f aca="false">IFERROR((J679-G679)/G679,"")</f>
        <v>-0.00104995123423244</v>
      </c>
      <c r="L679" s="2" t="str">
        <f aca="false">IF(K679="","",IF(ABS(K679)&gt;0.05,"CHECK","OK"))</f>
        <v>OK</v>
      </c>
    </row>
    <row r="680" customFormat="false" ht="15" hidden="false" customHeight="false" outlineLevel="0" collapsed="false">
      <c r="A680" s="2" t="s">
        <v>26</v>
      </c>
      <c r="B680" s="2" t="n">
        <v>1974</v>
      </c>
      <c r="C680" s="2" t="s">
        <v>86</v>
      </c>
      <c r="D680" s="3" t="n">
        <v>173638</v>
      </c>
      <c r="E680" s="3" t="n">
        <v>22150</v>
      </c>
      <c r="F680" s="2" t="s">
        <v>14</v>
      </c>
      <c r="G680" s="3" t="n">
        <v>128</v>
      </c>
      <c r="H680" s="2" t="s">
        <v>15</v>
      </c>
      <c r="I680" s="2" t="n">
        <v>1000</v>
      </c>
      <c r="J680" s="4" t="n">
        <f aca="false">IFERROR(E680*I680/D680,"")</f>
        <v>127.564242850067</v>
      </c>
      <c r="K680" s="5" t="n">
        <f aca="false">IFERROR((J680-G680)/G680,"")</f>
        <v>-0.00340435273384854</v>
      </c>
      <c r="L680" s="2" t="str">
        <f aca="false">IF(K680="","",IF(ABS(K680)&gt;0.05,"CHECK","OK"))</f>
        <v>OK</v>
      </c>
    </row>
    <row r="681" customFormat="false" ht="15" hidden="false" customHeight="false" outlineLevel="0" collapsed="false">
      <c r="A681" s="2" t="s">
        <v>26</v>
      </c>
      <c r="B681" s="2" t="n">
        <v>1974</v>
      </c>
      <c r="C681" s="2" t="s">
        <v>87</v>
      </c>
      <c r="D681" s="3" t="n">
        <v>464200</v>
      </c>
      <c r="E681" s="3" t="n">
        <v>114630</v>
      </c>
      <c r="F681" s="2" t="s">
        <v>14</v>
      </c>
      <c r="G681" s="3" t="n">
        <v>247</v>
      </c>
      <c r="H681" s="2" t="s">
        <v>15</v>
      </c>
      <c r="I681" s="2" t="n">
        <v>1000</v>
      </c>
      <c r="J681" s="4" t="n">
        <f aca="false">IFERROR(E681*I681/D681,"")</f>
        <v>246.940973718225</v>
      </c>
      <c r="K681" s="5" t="n">
        <f aca="false">IFERROR((J681-G681)/G681,"")</f>
        <v>-0.000238972800708865</v>
      </c>
      <c r="L681" s="2" t="str">
        <f aca="false">IF(K681="","",IF(ABS(K681)&gt;0.05,"CHECK","OK"))</f>
        <v>OK</v>
      </c>
    </row>
    <row r="682" customFormat="false" ht="15" hidden="false" customHeight="false" outlineLevel="0" collapsed="false">
      <c r="A682" s="2" t="s">
        <v>27</v>
      </c>
      <c r="B682" s="2" t="n">
        <v>1975</v>
      </c>
      <c r="C682" s="2" t="s">
        <v>86</v>
      </c>
      <c r="D682" s="3" t="n">
        <v>167154</v>
      </c>
      <c r="E682" s="3" t="n">
        <v>35580</v>
      </c>
      <c r="F682" s="2" t="s">
        <v>14</v>
      </c>
      <c r="G682" s="3" t="n">
        <v>213</v>
      </c>
      <c r="H682" s="2" t="s">
        <v>15</v>
      </c>
      <c r="I682" s="2" t="n">
        <v>1000</v>
      </c>
      <c r="J682" s="4" t="n">
        <f aca="false">IFERROR(E682*I682/D682,"")</f>
        <v>212.857604364837</v>
      </c>
      <c r="K682" s="5" t="n">
        <f aca="false">IFERROR((J682-G682)/G682,"")</f>
        <v>-0.00066852410874547</v>
      </c>
      <c r="L682" s="2" t="str">
        <f aca="false">IF(K682="","",IF(ABS(K682)&gt;0.05,"CHECK","OK"))</f>
        <v>OK</v>
      </c>
    </row>
    <row r="683" customFormat="false" ht="15" hidden="false" customHeight="false" outlineLevel="0" collapsed="false">
      <c r="A683" s="2" t="s">
        <v>27</v>
      </c>
      <c r="B683" s="2" t="n">
        <v>1975</v>
      </c>
      <c r="C683" s="2" t="s">
        <v>87</v>
      </c>
      <c r="D683" s="3" t="n">
        <v>470938</v>
      </c>
      <c r="E683" s="3" t="n">
        <v>127370</v>
      </c>
      <c r="F683" s="2" t="s">
        <v>14</v>
      </c>
      <c r="G683" s="3" t="n">
        <v>270</v>
      </c>
      <c r="H683" s="2" t="s">
        <v>15</v>
      </c>
      <c r="I683" s="2" t="n">
        <v>1000</v>
      </c>
      <c r="J683" s="4" t="n">
        <f aca="false">IFERROR(E683*I683/D683,"")</f>
        <v>270.46023043373</v>
      </c>
      <c r="K683" s="5" t="n">
        <f aca="false">IFERROR((J683-G683)/G683,"")</f>
        <v>0.0017045571619635</v>
      </c>
      <c r="L683" s="2" t="str">
        <f aca="false">IF(K683="","",IF(ABS(K683)&gt;0.05,"CHECK","OK"))</f>
        <v>OK</v>
      </c>
    </row>
    <row r="684" customFormat="false" ht="15" hidden="false" customHeight="false" outlineLevel="0" collapsed="false">
      <c r="A684" s="2" t="s">
        <v>28</v>
      </c>
      <c r="B684" s="2" t="n">
        <v>1976</v>
      </c>
      <c r="C684" s="2" t="s">
        <v>86</v>
      </c>
      <c r="D684" s="3" t="n">
        <v>196716</v>
      </c>
      <c r="E684" s="3" t="n">
        <v>45720</v>
      </c>
      <c r="F684" s="2" t="s">
        <v>14</v>
      </c>
      <c r="G684" s="3" t="n">
        <v>232</v>
      </c>
      <c r="H684" s="2" t="s">
        <v>15</v>
      </c>
      <c r="I684" s="2" t="n">
        <v>1000</v>
      </c>
      <c r="J684" s="4" t="n">
        <f aca="false">IFERROR(E684*I684/D684,"")</f>
        <v>232.416275239431</v>
      </c>
      <c r="K684" s="5" t="n">
        <f aca="false">IFERROR((J684-G684)/G684,"")</f>
        <v>0.00179428982513559</v>
      </c>
      <c r="L684" s="2" t="str">
        <f aca="false">IF(K684="","",IF(ABS(K684)&gt;0.05,"CHECK","OK"))</f>
        <v>OK</v>
      </c>
    </row>
    <row r="685" customFormat="false" ht="15" hidden="false" customHeight="false" outlineLevel="0" collapsed="false">
      <c r="A685" s="2" t="s">
        <v>28</v>
      </c>
      <c r="B685" s="2" t="n">
        <v>1976</v>
      </c>
      <c r="C685" s="2" t="s">
        <v>87</v>
      </c>
      <c r="D685" s="3" t="n">
        <v>545298</v>
      </c>
      <c r="E685" s="3" t="n">
        <v>176520</v>
      </c>
      <c r="F685" s="2" t="s">
        <v>14</v>
      </c>
      <c r="G685" s="3" t="n">
        <v>324</v>
      </c>
      <c r="H685" s="2" t="s">
        <v>15</v>
      </c>
      <c r="I685" s="2" t="n">
        <v>1000</v>
      </c>
      <c r="J685" s="4" t="n">
        <f aca="false">IFERROR(E685*I685/D685,"")</f>
        <v>323.712905603908</v>
      </c>
      <c r="K685" s="5" t="n">
        <f aca="false">IFERROR((J685-G685)/G685,"")</f>
        <v>-0.000886093815097762</v>
      </c>
      <c r="L685" s="2" t="str">
        <f aca="false">IF(K685="","",IF(ABS(K685)&gt;0.05,"CHECK","OK"))</f>
        <v>OK</v>
      </c>
    </row>
    <row r="686" customFormat="false" ht="15" hidden="false" customHeight="false" outlineLevel="0" collapsed="false">
      <c r="A686" s="2" t="s">
        <v>29</v>
      </c>
      <c r="B686" s="2" t="n">
        <v>1977</v>
      </c>
      <c r="C686" s="2" t="s">
        <v>86</v>
      </c>
      <c r="D686" s="3" t="n">
        <v>193368</v>
      </c>
      <c r="E686" s="3" t="n">
        <v>45600</v>
      </c>
      <c r="F686" s="2" t="s">
        <v>14</v>
      </c>
      <c r="G686" s="3" t="n">
        <v>236</v>
      </c>
      <c r="H686" s="2" t="s">
        <v>15</v>
      </c>
      <c r="I686" s="2" t="n">
        <v>1000</v>
      </c>
      <c r="J686" s="4" t="n">
        <f aca="false">IFERROR(E686*I686/D686,"")</f>
        <v>235.819784038724</v>
      </c>
      <c r="K686" s="5" t="n">
        <f aca="false">IFERROR((J686-G686)/G686,"")</f>
        <v>-0.000763626954558922</v>
      </c>
      <c r="L686" s="2" t="str">
        <f aca="false">IF(K686="","",IF(ABS(K686)&gt;0.05,"CHECK","OK"))</f>
        <v>OK</v>
      </c>
    </row>
    <row r="687" customFormat="false" ht="15" hidden="false" customHeight="false" outlineLevel="0" collapsed="false">
      <c r="A687" s="2" t="s">
        <v>29</v>
      </c>
      <c r="B687" s="2" t="n">
        <v>1977</v>
      </c>
      <c r="C687" s="2" t="s">
        <v>87</v>
      </c>
      <c r="D687" s="3" t="n">
        <v>582304</v>
      </c>
      <c r="E687" s="3" t="n">
        <v>196310</v>
      </c>
      <c r="F687" s="2" t="s">
        <v>14</v>
      </c>
      <c r="G687" s="3" t="n">
        <v>337</v>
      </c>
      <c r="H687" s="2" t="s">
        <v>15</v>
      </c>
      <c r="I687" s="2" t="n">
        <v>1000</v>
      </c>
      <c r="J687" s="4" t="n">
        <f aca="false">IFERROR(E687*I687/D687,"")</f>
        <v>337.126312029455</v>
      </c>
      <c r="K687" s="5" t="n">
        <f aca="false">IFERROR((J687-G687)/G687,"")</f>
        <v>0.000374813143784544</v>
      </c>
      <c r="L687" s="2" t="str">
        <f aca="false">IF(K687="","",IF(ABS(K687)&gt;0.05,"CHECK","OK"))</f>
        <v>OK</v>
      </c>
    </row>
    <row r="688" customFormat="false" ht="15" hidden="false" customHeight="false" outlineLevel="0" collapsed="false">
      <c r="A688" s="2" t="s">
        <v>30</v>
      </c>
      <c r="B688" s="2" t="n">
        <v>1978</v>
      </c>
      <c r="C688" s="2" t="s">
        <v>86</v>
      </c>
      <c r="D688" s="3" t="n">
        <v>206711</v>
      </c>
      <c r="E688" s="3" t="n">
        <v>49150</v>
      </c>
      <c r="F688" s="2" t="s">
        <v>14</v>
      </c>
      <c r="G688" s="3" t="n">
        <v>238</v>
      </c>
      <c r="H688" s="2" t="s">
        <v>15</v>
      </c>
      <c r="I688" s="2" t="n">
        <v>1000</v>
      </c>
      <c r="J688" s="4" t="n">
        <f aca="false">IFERROR(E688*I688/D688,"")</f>
        <v>237.77157480734</v>
      </c>
      <c r="K688" s="5" t="n">
        <f aca="false">IFERROR((J688-G688)/G688,"")</f>
        <v>-0.000959769717060068</v>
      </c>
      <c r="L688" s="2" t="str">
        <f aca="false">IF(K688="","",IF(ABS(K688)&gt;0.05,"CHECK","OK"))</f>
        <v>OK</v>
      </c>
    </row>
    <row r="689" customFormat="false" ht="15" hidden="false" customHeight="false" outlineLevel="0" collapsed="false">
      <c r="A689" s="2" t="s">
        <v>30</v>
      </c>
      <c r="B689" s="2" t="n">
        <v>1978</v>
      </c>
      <c r="C689" s="2" t="s">
        <v>87</v>
      </c>
      <c r="D689" s="3" t="n">
        <v>616125</v>
      </c>
      <c r="E689" s="3" t="n">
        <v>218930</v>
      </c>
      <c r="F689" s="2" t="s">
        <v>14</v>
      </c>
      <c r="G689" s="3" t="n">
        <v>355</v>
      </c>
      <c r="H689" s="2" t="s">
        <v>15</v>
      </c>
      <c r="I689" s="2" t="n">
        <v>1000</v>
      </c>
      <c r="J689" s="4" t="n">
        <f aca="false">IFERROR(E689*I689/D689,"")</f>
        <v>355.333739095151</v>
      </c>
      <c r="K689" s="5" t="n">
        <f aca="false">IFERROR((J689-G689)/G689,"")</f>
        <v>0.000940110127186325</v>
      </c>
      <c r="L689" s="2" t="str">
        <f aca="false">IF(K689="","",IF(ABS(K689)&gt;0.05,"CHECK","OK"))</f>
        <v>OK</v>
      </c>
    </row>
    <row r="690" customFormat="false" ht="15" hidden="false" customHeight="false" outlineLevel="0" collapsed="false">
      <c r="A690" s="2" t="s">
        <v>31</v>
      </c>
      <c r="B690" s="2" t="n">
        <v>1979</v>
      </c>
      <c r="C690" s="2" t="s">
        <v>86</v>
      </c>
      <c r="D690" s="3" t="n">
        <v>195130</v>
      </c>
      <c r="E690" s="3" t="n">
        <v>45530</v>
      </c>
      <c r="F690" s="2" t="s">
        <v>14</v>
      </c>
      <c r="G690" s="3" t="n">
        <v>233</v>
      </c>
      <c r="H690" s="2" t="s">
        <v>15</v>
      </c>
      <c r="I690" s="2" t="n">
        <v>1000</v>
      </c>
      <c r="J690" s="4" t="n">
        <f aca="false">IFERROR(E690*I690/D690,"")</f>
        <v>233.331625070466</v>
      </c>
      <c r="K690" s="5" t="n">
        <f aca="false">IFERROR((J690-G690)/G690,"")</f>
        <v>0.00142328356423104</v>
      </c>
      <c r="L690" s="2" t="str">
        <f aca="false">IF(K690="","",IF(ABS(K690)&gt;0.05,"CHECK","OK"))</f>
        <v>OK</v>
      </c>
    </row>
    <row r="691" customFormat="false" ht="15" hidden="false" customHeight="false" outlineLevel="0" collapsed="false">
      <c r="A691" s="2" t="s">
        <v>31</v>
      </c>
      <c r="B691" s="2" t="n">
        <v>1979</v>
      </c>
      <c r="C691" s="2" t="s">
        <v>87</v>
      </c>
      <c r="D691" s="3" t="n">
        <v>605808</v>
      </c>
      <c r="E691" s="3" t="n">
        <v>194870</v>
      </c>
      <c r="F691" s="2" t="s">
        <v>14</v>
      </c>
      <c r="G691" s="3" t="n">
        <v>322</v>
      </c>
      <c r="H691" s="2" t="s">
        <v>15</v>
      </c>
      <c r="I691" s="2" t="n">
        <v>1000</v>
      </c>
      <c r="J691" s="4" t="n">
        <f aca="false">IFERROR(E691*I691/D691,"")</f>
        <v>321.669571877559</v>
      </c>
      <c r="K691" s="5" t="n">
        <f aca="false">IFERROR((J691-G691)/G691,"")</f>
        <v>-0.00102617429329642</v>
      </c>
      <c r="L691" s="2" t="str">
        <f aca="false">IF(K691="","",IF(ABS(K691)&gt;0.05,"CHECK","OK"))</f>
        <v>OK</v>
      </c>
    </row>
    <row r="692" customFormat="false" ht="15" hidden="false" customHeight="false" outlineLevel="0" collapsed="false">
      <c r="A692" s="2" t="s">
        <v>32</v>
      </c>
      <c r="B692" s="2" t="n">
        <v>1980</v>
      </c>
      <c r="C692" s="2" t="s">
        <v>86</v>
      </c>
      <c r="D692" s="3" t="n">
        <v>155429</v>
      </c>
      <c r="E692" s="3" t="n">
        <v>36210</v>
      </c>
      <c r="F692" s="2" t="s">
        <v>14</v>
      </c>
      <c r="G692" s="3" t="n">
        <v>233</v>
      </c>
      <c r="H692" s="2" t="s">
        <v>15</v>
      </c>
      <c r="I692" s="2" t="n">
        <v>1000</v>
      </c>
      <c r="J692" s="4" t="n">
        <f aca="false">IFERROR(E692*I692/D692,"")</f>
        <v>232.968107624703</v>
      </c>
      <c r="K692" s="5" t="n">
        <f aca="false">IFERROR((J692-G692)/G692,"")</f>
        <v>-0.00013687714719641</v>
      </c>
      <c r="L692" s="2" t="str">
        <f aca="false">IF(K692="","",IF(ABS(K692)&gt;0.05,"CHECK","OK"))</f>
        <v>OK</v>
      </c>
    </row>
    <row r="693" customFormat="false" ht="15" hidden="false" customHeight="false" outlineLevel="0" collapsed="false">
      <c r="A693" s="2" t="s">
        <v>32</v>
      </c>
      <c r="B693" s="2" t="n">
        <v>1980</v>
      </c>
      <c r="C693" s="2" t="s">
        <v>87</v>
      </c>
      <c r="D693" s="3" t="n">
        <v>543924</v>
      </c>
      <c r="E693" s="3" t="n">
        <v>176170</v>
      </c>
      <c r="F693" s="2" t="s">
        <v>14</v>
      </c>
      <c r="G693" s="3" t="n">
        <v>324</v>
      </c>
      <c r="H693" s="2" t="s">
        <v>15</v>
      </c>
      <c r="I693" s="2" t="n">
        <v>1000</v>
      </c>
      <c r="J693" s="4" t="n">
        <f aca="false">IFERROR(E693*I693/D693,"")</f>
        <v>323.887160706275</v>
      </c>
      <c r="K693" s="5" t="n">
        <f aca="false">IFERROR((J693-G693)/G693,"")</f>
        <v>-0.000348269425076686</v>
      </c>
      <c r="L693" s="2" t="str">
        <f aca="false">IF(K693="","",IF(ABS(K693)&gt;0.05,"CHECK","OK"))</f>
        <v>OK</v>
      </c>
    </row>
    <row r="694" customFormat="false" ht="15" hidden="false" customHeight="false" outlineLevel="0" collapsed="false">
      <c r="A694" s="2" t="s">
        <v>33</v>
      </c>
      <c r="B694" s="2" t="n">
        <v>1981</v>
      </c>
      <c r="C694" s="2" t="s">
        <v>86</v>
      </c>
      <c r="D694" s="3" t="n">
        <v>171124</v>
      </c>
      <c r="E694" s="3" t="n">
        <v>41280</v>
      </c>
      <c r="F694" s="2" t="s">
        <v>14</v>
      </c>
      <c r="G694" s="3" t="n">
        <v>241</v>
      </c>
      <c r="H694" s="2" t="s">
        <v>15</v>
      </c>
      <c r="I694" s="2" t="n">
        <v>1000</v>
      </c>
      <c r="J694" s="4" t="n">
        <f aca="false">IFERROR(E694*I694/D694,"")</f>
        <v>241.228582782076</v>
      </c>
      <c r="K694" s="5" t="n">
        <f aca="false">IFERROR((J694-G694)/G694,"")</f>
        <v>0.000948476274174936</v>
      </c>
      <c r="L694" s="2" t="str">
        <f aca="false">IF(K694="","",IF(ABS(K694)&gt;0.05,"CHECK","OK"))</f>
        <v>OK</v>
      </c>
    </row>
    <row r="695" customFormat="false" ht="15" hidden="false" customHeight="false" outlineLevel="0" collapsed="false">
      <c r="A695" s="2" t="s">
        <v>33</v>
      </c>
      <c r="B695" s="2" t="n">
        <v>1981</v>
      </c>
      <c r="C695" s="2" t="s">
        <v>87</v>
      </c>
      <c r="D695" s="3" t="n">
        <v>558213</v>
      </c>
      <c r="E695" s="3" t="n">
        <v>188050</v>
      </c>
      <c r="F695" s="2" t="s">
        <v>14</v>
      </c>
      <c r="G695" s="3" t="n">
        <v>337</v>
      </c>
      <c r="H695" s="2" t="s">
        <v>15</v>
      </c>
      <c r="I695" s="2" t="n">
        <v>1000</v>
      </c>
      <c r="J695" s="4" t="n">
        <f aca="false">IFERROR(E695*I695/D695,"")</f>
        <v>336.878575024229</v>
      </c>
      <c r="K695" s="5" t="n">
        <f aca="false">IFERROR((J695-G695)/G695,"")</f>
        <v>-0.000360311500803794</v>
      </c>
      <c r="L695" s="2" t="str">
        <f aca="false">IF(K695="","",IF(ABS(K695)&gt;0.05,"CHECK","OK"))</f>
        <v>OK</v>
      </c>
    </row>
    <row r="696" customFormat="false" ht="15" hidden="false" customHeight="false" outlineLevel="0" collapsed="false">
      <c r="A696" s="2" t="s">
        <v>34</v>
      </c>
      <c r="B696" s="2" t="n">
        <v>1982</v>
      </c>
      <c r="C696" s="2" t="s">
        <v>86</v>
      </c>
      <c r="D696" s="3" t="n">
        <v>163656</v>
      </c>
      <c r="E696" s="3" t="n">
        <v>72160</v>
      </c>
      <c r="F696" s="2" t="s">
        <v>14</v>
      </c>
      <c r="G696" s="3" t="n">
        <v>441</v>
      </c>
      <c r="H696" s="2" t="s">
        <v>15</v>
      </c>
      <c r="I696" s="2" t="n">
        <v>1000</v>
      </c>
      <c r="J696" s="4" t="n">
        <f aca="false">IFERROR(E696*I696/D696,"")</f>
        <v>440.924866793763</v>
      </c>
      <c r="K696" s="5" t="n">
        <f aca="false">IFERROR((J696-G696)/G696,"")</f>
        <v>-0.000170370082171128</v>
      </c>
      <c r="L696" s="2" t="str">
        <f aca="false">IF(K696="","",IF(ABS(K696)&gt;0.05,"CHECK","OK"))</f>
        <v>OK</v>
      </c>
    </row>
    <row r="697" customFormat="false" ht="15" hidden="false" customHeight="false" outlineLevel="0" collapsed="false">
      <c r="A697" s="2" t="s">
        <v>34</v>
      </c>
      <c r="B697" s="2" t="n">
        <v>1982</v>
      </c>
      <c r="C697" s="2" t="s">
        <v>87</v>
      </c>
      <c r="D697" s="3" t="n">
        <v>493994</v>
      </c>
      <c r="E697" s="3" t="n">
        <v>189230</v>
      </c>
      <c r="F697" s="2" t="s">
        <v>14</v>
      </c>
      <c r="G697" s="3" t="n">
        <v>383</v>
      </c>
      <c r="H697" s="2" t="s">
        <v>15</v>
      </c>
      <c r="I697" s="2" t="n">
        <v>1000</v>
      </c>
      <c r="J697" s="4" t="n">
        <f aca="false">IFERROR(E697*I697/D697,"")</f>
        <v>383.061332728738</v>
      </c>
      <c r="K697" s="5" t="n">
        <f aca="false">IFERROR((J697-G697)/G697,"")</f>
        <v>0.000160137672944042</v>
      </c>
      <c r="L697" s="2" t="str">
        <f aca="false">IF(K697="","",IF(ABS(K697)&gt;0.05,"CHECK","OK"))</f>
        <v>OK</v>
      </c>
    </row>
    <row r="698" customFormat="false" ht="15" hidden="false" customHeight="false" outlineLevel="0" collapsed="false">
      <c r="A698" s="2" t="s">
        <v>35</v>
      </c>
      <c r="B698" s="2" t="n">
        <v>1983</v>
      </c>
      <c r="C698" s="2" t="s">
        <v>86</v>
      </c>
      <c r="D698" s="3" t="n">
        <v>169485</v>
      </c>
      <c r="E698" s="3" t="n">
        <v>78630</v>
      </c>
      <c r="F698" s="2" t="s">
        <v>14</v>
      </c>
      <c r="G698" s="3" t="n">
        <v>464</v>
      </c>
      <c r="H698" s="2" t="s">
        <v>15</v>
      </c>
      <c r="I698" s="2" t="n">
        <v>1000</v>
      </c>
      <c r="J698" s="4" t="n">
        <f aca="false">IFERROR(E698*I698/D698,"")</f>
        <v>463.934861492167</v>
      </c>
      <c r="K698" s="5" t="n">
        <f aca="false">IFERROR((J698-G698)/G698,"")</f>
        <v>-0.000140384715156374</v>
      </c>
      <c r="L698" s="2" t="str">
        <f aca="false">IF(K698="","",IF(ABS(K698)&gt;0.05,"CHECK","OK"))</f>
        <v>OK</v>
      </c>
    </row>
    <row r="699" customFormat="false" ht="15" hidden="false" customHeight="false" outlineLevel="0" collapsed="false">
      <c r="A699" s="2" t="s">
        <v>35</v>
      </c>
      <c r="B699" s="2" t="n">
        <v>1983</v>
      </c>
      <c r="C699" s="2" t="s">
        <v>87</v>
      </c>
      <c r="D699" s="3" t="n">
        <v>603119</v>
      </c>
      <c r="E699" s="3" t="n">
        <v>221580</v>
      </c>
      <c r="F699" s="2" t="s">
        <v>14</v>
      </c>
      <c r="G699" s="3" t="n">
        <v>367</v>
      </c>
      <c r="H699" s="2" t="s">
        <v>15</v>
      </c>
      <c r="I699" s="2" t="n">
        <v>1000</v>
      </c>
      <c r="J699" s="4" t="n">
        <f aca="false">IFERROR(E699*I699/D699,"")</f>
        <v>367.390183363482</v>
      </c>
      <c r="K699" s="5" t="n">
        <f aca="false">IFERROR((J699-G699)/G699,"")</f>
        <v>0.00106316992774428</v>
      </c>
      <c r="L699" s="2" t="str">
        <f aca="false">IF(K699="","",IF(ABS(K699)&gt;0.05,"CHECK","OK"))</f>
        <v>OK</v>
      </c>
    </row>
    <row r="700" customFormat="false" ht="15" hidden="false" customHeight="false" outlineLevel="0" collapsed="false">
      <c r="A700" s="2" t="s">
        <v>36</v>
      </c>
      <c r="B700" s="2" t="n">
        <v>1984</v>
      </c>
      <c r="C700" s="2" t="s">
        <v>86</v>
      </c>
      <c r="D700" s="3" t="n">
        <v>155877</v>
      </c>
      <c r="E700" s="3" t="n">
        <v>61120</v>
      </c>
      <c r="F700" s="2" t="s">
        <v>14</v>
      </c>
      <c r="G700" s="3" t="n">
        <v>392</v>
      </c>
      <c r="H700" s="2" t="s">
        <v>15</v>
      </c>
      <c r="I700" s="2" t="n">
        <v>1000</v>
      </c>
      <c r="J700" s="4" t="n">
        <f aca="false">IFERROR(E700*I700/D700,"")</f>
        <v>392.104030742188</v>
      </c>
      <c r="K700" s="5" t="n">
        <f aca="false">IFERROR((J700-G700)/G700,"")</f>
        <v>0.000265384546397383</v>
      </c>
      <c r="L700" s="2" t="str">
        <f aca="false">IF(K700="","",IF(ABS(K700)&gt;0.05,"CHECK","OK"))</f>
        <v>OK</v>
      </c>
    </row>
    <row r="701" customFormat="false" ht="15" hidden="false" customHeight="false" outlineLevel="0" collapsed="false">
      <c r="A701" s="2" t="s">
        <v>36</v>
      </c>
      <c r="B701" s="2" t="n">
        <v>1984</v>
      </c>
      <c r="C701" s="2" t="s">
        <v>87</v>
      </c>
      <c r="D701" s="3" t="n">
        <v>617806</v>
      </c>
      <c r="E701" s="3" t="n">
        <v>248690</v>
      </c>
      <c r="F701" s="2" t="s">
        <v>14</v>
      </c>
      <c r="G701" s="3" t="n">
        <v>403</v>
      </c>
      <c r="H701" s="2" t="s">
        <v>15</v>
      </c>
      <c r="I701" s="2" t="n">
        <v>1000</v>
      </c>
      <c r="J701" s="4" t="n">
        <f aca="false">IFERROR(E701*I701/D701,"")</f>
        <v>402.537366098743</v>
      </c>
      <c r="K701" s="5" t="n">
        <f aca="false">IFERROR((J701-G701)/G701,"")</f>
        <v>-0.00114797494108449</v>
      </c>
      <c r="L701" s="2" t="str">
        <f aca="false">IF(K701="","",IF(ABS(K701)&gt;0.05,"CHECK","OK"))</f>
        <v>OK</v>
      </c>
    </row>
    <row r="702" customFormat="false" ht="15" hidden="false" customHeight="false" outlineLevel="0" collapsed="false">
      <c r="A702" s="2" t="s">
        <v>37</v>
      </c>
      <c r="B702" s="2" t="n">
        <v>1985</v>
      </c>
      <c r="C702" s="2" t="s">
        <v>86</v>
      </c>
      <c r="D702" s="3" t="n">
        <v>136404</v>
      </c>
      <c r="E702" s="3" t="n">
        <v>54760</v>
      </c>
      <c r="F702" s="2" t="s">
        <v>14</v>
      </c>
      <c r="G702" s="3" t="n">
        <v>401</v>
      </c>
      <c r="H702" s="2" t="s">
        <v>15</v>
      </c>
      <c r="I702" s="2" t="n">
        <v>1000</v>
      </c>
      <c r="J702" s="4" t="n">
        <f aca="false">IFERROR(E702*I702/D702,"")</f>
        <v>401.454502800504</v>
      </c>
      <c r="K702" s="5" t="n">
        <f aca="false">IFERROR((J702-G702)/G702,"")</f>
        <v>0.00113342344265429</v>
      </c>
      <c r="L702" s="2" t="str">
        <f aca="false">IF(K702="","",IF(ABS(K702)&gt;0.05,"CHECK","OK"))</f>
        <v>OK</v>
      </c>
    </row>
    <row r="703" customFormat="false" ht="15" hidden="false" customHeight="false" outlineLevel="0" collapsed="false">
      <c r="A703" s="2" t="s">
        <v>37</v>
      </c>
      <c r="B703" s="2" t="n">
        <v>1985</v>
      </c>
      <c r="C703" s="2" t="s">
        <v>87</v>
      </c>
      <c r="D703" s="3" t="n">
        <v>582268</v>
      </c>
      <c r="E703" s="3" t="n">
        <v>275220</v>
      </c>
      <c r="F703" s="2" t="s">
        <v>14</v>
      </c>
      <c r="G703" s="3" t="n">
        <v>473</v>
      </c>
      <c r="H703" s="2" t="s">
        <v>15</v>
      </c>
      <c r="I703" s="2" t="n">
        <v>1000</v>
      </c>
      <c r="J703" s="4" t="n">
        <f aca="false">IFERROR(E703*I703/D703,"")</f>
        <v>472.66894282358</v>
      </c>
      <c r="K703" s="5" t="n">
        <f aca="false">IFERROR((J703-G703)/G703,"")</f>
        <v>-0.000699909463891062</v>
      </c>
      <c r="L703" s="2" t="str">
        <f aca="false">IF(K703="","",IF(ABS(K703)&gt;0.05,"CHECK","OK"))</f>
        <v>OK</v>
      </c>
    </row>
    <row r="704" customFormat="false" ht="15" hidden="false" customHeight="false" outlineLevel="0" collapsed="false">
      <c r="A704" s="2" t="s">
        <v>38</v>
      </c>
      <c r="B704" s="2" t="n">
        <v>1986</v>
      </c>
      <c r="C704" s="2" t="s">
        <v>86</v>
      </c>
      <c r="D704" s="3" t="n">
        <v>126385</v>
      </c>
      <c r="E704" s="3" t="n">
        <v>54210</v>
      </c>
      <c r="F704" s="2" t="s">
        <v>14</v>
      </c>
      <c r="G704" s="3" t="n">
        <v>429</v>
      </c>
      <c r="H704" s="2" t="s">
        <v>15</v>
      </c>
      <c r="I704" s="2" t="n">
        <v>1000</v>
      </c>
      <c r="J704" s="4" t="n">
        <f aca="false">IFERROR(E704*I704/D704,"")</f>
        <v>428.927483483008</v>
      </c>
      <c r="K704" s="5" t="n">
        <f aca="false">IFERROR((J704-G704)/G704,"")</f>
        <v>-0.00016903617014395</v>
      </c>
      <c r="L704" s="2" t="str">
        <f aca="false">IF(K704="","",IF(ABS(K704)&gt;0.05,"CHECK","OK"))</f>
        <v>OK</v>
      </c>
    </row>
    <row r="705" customFormat="false" ht="15" hidden="false" customHeight="false" outlineLevel="0" collapsed="false">
      <c r="A705" s="2" t="s">
        <v>38</v>
      </c>
      <c r="B705" s="2" t="n">
        <v>1986</v>
      </c>
      <c r="C705" s="2" t="s">
        <v>87</v>
      </c>
      <c r="D705" s="3" t="n">
        <v>689109</v>
      </c>
      <c r="E705" s="3" t="n">
        <v>311840</v>
      </c>
      <c r="F705" s="2" t="s">
        <v>14</v>
      </c>
      <c r="G705" s="3" t="n">
        <v>453</v>
      </c>
      <c r="H705" s="2" t="s">
        <v>15</v>
      </c>
      <c r="I705" s="2" t="n">
        <v>1000</v>
      </c>
      <c r="J705" s="4" t="n">
        <f aca="false">IFERROR(E705*I705/D705,"")</f>
        <v>452.526378265267</v>
      </c>
      <c r="K705" s="5" t="n">
        <f aca="false">IFERROR((J705-G705)/G705,"")</f>
        <v>-0.00104552259322921</v>
      </c>
      <c r="L705" s="2" t="str">
        <f aca="false">IF(K705="","",IF(ABS(K705)&gt;0.05,"CHECK","OK"))</f>
        <v>OK</v>
      </c>
    </row>
    <row r="706" customFormat="false" ht="15" hidden="false" customHeight="false" outlineLevel="0" collapsed="false">
      <c r="A706" s="2" t="s">
        <v>39</v>
      </c>
      <c r="B706" s="2" t="n">
        <v>1987</v>
      </c>
      <c r="C706" s="2" t="s">
        <v>86</v>
      </c>
      <c r="D706" s="3" t="n">
        <v>142298</v>
      </c>
      <c r="E706" s="3" t="n">
        <v>64530</v>
      </c>
      <c r="F706" s="2" t="s">
        <v>14</v>
      </c>
      <c r="G706" s="3" t="n">
        <v>453</v>
      </c>
      <c r="H706" s="2" t="s">
        <v>15</v>
      </c>
      <c r="I706" s="2" t="n">
        <v>1000</v>
      </c>
      <c r="J706" s="4" t="n">
        <f aca="false">IFERROR(E706*I706/D706,"")</f>
        <v>453.484940055377</v>
      </c>
      <c r="K706" s="5" t="n">
        <f aca="false">IFERROR((J706-G706)/G706,"")</f>
        <v>0.00107050784851377</v>
      </c>
      <c r="L706" s="2" t="str">
        <f aca="false">IF(K706="","",IF(ABS(K706)&gt;0.05,"CHECK","OK"))</f>
        <v>OK</v>
      </c>
    </row>
    <row r="707" customFormat="false" ht="15" hidden="false" customHeight="false" outlineLevel="0" collapsed="false">
      <c r="A707" s="2" t="s">
        <v>39</v>
      </c>
      <c r="B707" s="2" t="n">
        <v>1987</v>
      </c>
      <c r="C707" s="2" t="s">
        <v>87</v>
      </c>
      <c r="D707" s="3" t="n">
        <v>635419</v>
      </c>
      <c r="E707" s="3" t="n">
        <v>283130</v>
      </c>
      <c r="F707" s="2" t="s">
        <v>14</v>
      </c>
      <c r="G707" s="3" t="n">
        <v>446</v>
      </c>
      <c r="H707" s="2" t="s">
        <v>15</v>
      </c>
      <c r="I707" s="2" t="n">
        <v>1000</v>
      </c>
      <c r="J707" s="4" t="n">
        <f aca="false">IFERROR(E707*I707/D707,"")</f>
        <v>445.580003116054</v>
      </c>
      <c r="K707" s="5" t="n">
        <f aca="false">IFERROR((J707-G707)/G707,"")</f>
        <v>-0.00094169704920602</v>
      </c>
      <c r="L707" s="2" t="str">
        <f aca="false">IF(K707="","",IF(ABS(K707)&gt;0.05,"CHECK","OK"))</f>
        <v>OK</v>
      </c>
    </row>
    <row r="708" customFormat="false" ht="15" hidden="false" customHeight="false" outlineLevel="0" collapsed="false">
      <c r="A708" s="2" t="s">
        <v>40</v>
      </c>
      <c r="B708" s="2" t="n">
        <v>1988</v>
      </c>
      <c r="C708" s="2" t="s">
        <v>86</v>
      </c>
      <c r="D708" s="3" t="n">
        <v>102937</v>
      </c>
      <c r="E708" s="3" t="n">
        <v>32930</v>
      </c>
      <c r="F708" s="2" t="s">
        <v>14</v>
      </c>
      <c r="G708" s="3" t="n">
        <v>320</v>
      </c>
      <c r="H708" s="2" t="s">
        <v>15</v>
      </c>
      <c r="I708" s="2" t="n">
        <v>1000</v>
      </c>
      <c r="J708" s="4" t="n">
        <f aca="false">IFERROR(E708*I708/D708,"")</f>
        <v>319.904407550249</v>
      </c>
      <c r="K708" s="5" t="n">
        <f aca="false">IFERROR((J708-G708)/G708,"")</f>
        <v>-0.000298726405471328</v>
      </c>
      <c r="L708" s="2" t="str">
        <f aca="false">IF(K708="","",IF(ABS(K708)&gt;0.05,"CHECK","OK"))</f>
        <v>OK</v>
      </c>
    </row>
    <row r="709" customFormat="false" ht="15" hidden="false" customHeight="false" outlineLevel="0" collapsed="false">
      <c r="A709" s="2" t="s">
        <v>40</v>
      </c>
      <c r="B709" s="2" t="n">
        <v>1988</v>
      </c>
      <c r="C709" s="2" t="s">
        <v>87</v>
      </c>
      <c r="D709" s="3" t="n">
        <v>624622</v>
      </c>
      <c r="E709" s="3" t="n">
        <v>247670</v>
      </c>
      <c r="F709" s="2" t="s">
        <v>14</v>
      </c>
      <c r="G709" s="3" t="n">
        <v>397</v>
      </c>
      <c r="H709" s="2" t="s">
        <v>15</v>
      </c>
      <c r="I709" s="2" t="n">
        <v>1000</v>
      </c>
      <c r="J709" s="4" t="n">
        <f aca="false">IFERROR(E709*I709/D709,"")</f>
        <v>396.511810342895</v>
      </c>
      <c r="K709" s="5" t="n">
        <f aca="false">IFERROR((J709-G709)/G709,"")</f>
        <v>-0.00122969686928114</v>
      </c>
      <c r="L709" s="2" t="str">
        <f aca="false">IF(K709="","",IF(ABS(K709)&gt;0.05,"CHECK","OK"))</f>
        <v>OK</v>
      </c>
    </row>
    <row r="710" customFormat="false" ht="15" hidden="false" customHeight="false" outlineLevel="0" collapsed="false">
      <c r="A710" s="2" t="s">
        <v>41</v>
      </c>
      <c r="B710" s="2" t="n">
        <v>1989</v>
      </c>
      <c r="C710" s="2" t="s">
        <v>86</v>
      </c>
      <c r="D710" s="3" t="n">
        <v>113205</v>
      </c>
      <c r="E710" s="3" t="n">
        <v>36020</v>
      </c>
      <c r="F710" s="2" t="s">
        <v>14</v>
      </c>
      <c r="G710" s="3" t="n">
        <v>318</v>
      </c>
      <c r="H710" s="2" t="s">
        <v>15</v>
      </c>
      <c r="I710" s="2" t="n">
        <v>1000</v>
      </c>
      <c r="J710" s="4" t="n">
        <f aca="false">IFERROR(E710*I710/D710,"")</f>
        <v>318.183825802747</v>
      </c>
      <c r="K710" s="5" t="n">
        <f aca="false">IFERROR((J710-G710)/G710,"")</f>
        <v>0.000578068562098138</v>
      </c>
      <c r="L710" s="2" t="str">
        <f aca="false">IF(K710="","",IF(ABS(K710)&gt;0.05,"CHECK","OK"))</f>
        <v>OK</v>
      </c>
    </row>
    <row r="711" customFormat="false" ht="15" hidden="false" customHeight="false" outlineLevel="0" collapsed="false">
      <c r="A711" s="2" t="s">
        <v>41</v>
      </c>
      <c r="B711" s="2" t="n">
        <v>1989</v>
      </c>
      <c r="C711" s="2" t="s">
        <v>87</v>
      </c>
      <c r="D711" s="3" t="n">
        <v>820860</v>
      </c>
      <c r="E711" s="3" t="n">
        <v>333760</v>
      </c>
      <c r="F711" s="2" t="s">
        <v>14</v>
      </c>
      <c r="G711" s="3" t="n">
        <v>407</v>
      </c>
      <c r="H711" s="2" t="s">
        <v>15</v>
      </c>
      <c r="I711" s="2" t="n">
        <v>1000</v>
      </c>
      <c r="J711" s="4" t="n">
        <f aca="false">IFERROR(E711*I711/D711,"")</f>
        <v>406.59795823892</v>
      </c>
      <c r="K711" s="5" t="n">
        <f aca="false">IFERROR((J711-G711)/G711,"")</f>
        <v>-0.000987817594790735</v>
      </c>
      <c r="L711" s="2" t="str">
        <f aca="false">IF(K711="","",IF(ABS(K711)&gt;0.05,"CHECK","OK"))</f>
        <v>OK</v>
      </c>
    </row>
    <row r="712" customFormat="false" ht="15" hidden="false" customHeight="false" outlineLevel="0" collapsed="false">
      <c r="A712" s="2" t="s">
        <v>42</v>
      </c>
      <c r="B712" s="2" t="n">
        <v>1990</v>
      </c>
      <c r="C712" s="2" t="s">
        <v>86</v>
      </c>
      <c r="D712" s="3" t="n">
        <v>145598</v>
      </c>
      <c r="E712" s="3" t="n">
        <v>60800</v>
      </c>
      <c r="F712" s="2" t="s">
        <v>14</v>
      </c>
      <c r="G712" s="3" t="n">
        <v>418</v>
      </c>
      <c r="H712" s="2" t="s">
        <v>15</v>
      </c>
      <c r="I712" s="2" t="n">
        <v>1000</v>
      </c>
      <c r="J712" s="4" t="n">
        <f aca="false">IFERROR(E712*I712/D712,"")</f>
        <v>417.58815368343</v>
      </c>
      <c r="K712" s="5" t="n">
        <f aca="false">IFERROR((J712-G712)/G712,"")</f>
        <v>-0.000985278269306915</v>
      </c>
      <c r="L712" s="2" t="str">
        <f aca="false">IF(K712="","",IF(ABS(K712)&gt;0.05,"CHECK","OK"))</f>
        <v>OK</v>
      </c>
    </row>
    <row r="713" customFormat="false" ht="15" hidden="false" customHeight="false" outlineLevel="0" collapsed="false">
      <c r="A713" s="2" t="s">
        <v>42</v>
      </c>
      <c r="B713" s="2" t="n">
        <v>1990</v>
      </c>
      <c r="C713" s="2" t="s">
        <v>87</v>
      </c>
      <c r="D713" s="3" t="n">
        <v>847010</v>
      </c>
      <c r="E713" s="3" t="n">
        <v>359930</v>
      </c>
      <c r="F713" s="2" t="s">
        <v>14</v>
      </c>
      <c r="G713" s="3" t="n">
        <v>425</v>
      </c>
      <c r="H713" s="2" t="s">
        <v>15</v>
      </c>
      <c r="I713" s="2" t="n">
        <v>1000</v>
      </c>
      <c r="J713" s="4" t="n">
        <f aca="false">IFERROR(E713*I713/D713,"")</f>
        <v>424.941854287435</v>
      </c>
      <c r="K713" s="5" t="n">
        <f aca="false">IFERROR((J713-G713)/G713,"")</f>
        <v>-0.000136813441330265</v>
      </c>
      <c r="L713" s="2" t="str">
        <f aca="false">IF(K713="","",IF(ABS(K713)&gt;0.05,"CHECK","OK"))</f>
        <v>OK</v>
      </c>
    </row>
    <row r="714" customFormat="false" ht="15" hidden="false" customHeight="false" outlineLevel="0" collapsed="false">
      <c r="A714" s="2" t="s">
        <v>43</v>
      </c>
      <c r="B714" s="2" t="n">
        <v>1991</v>
      </c>
      <c r="C714" s="2" t="s">
        <v>86</v>
      </c>
      <c r="D714" s="3" t="n">
        <v>123675</v>
      </c>
      <c r="E714" s="3" t="n">
        <v>56710</v>
      </c>
      <c r="F714" s="2" t="s">
        <v>14</v>
      </c>
      <c r="G714" s="3" t="n">
        <v>459</v>
      </c>
      <c r="H714" s="2" t="s">
        <v>15</v>
      </c>
      <c r="I714" s="2" t="n">
        <v>1000</v>
      </c>
      <c r="J714" s="4" t="n">
        <f aca="false">IFERROR(E714*I714/D714,"")</f>
        <v>458.540529613907</v>
      </c>
      <c r="K714" s="5" t="n">
        <f aca="false">IFERROR((J714-G714)/G714,"")</f>
        <v>-0.00100102480630188</v>
      </c>
      <c r="L714" s="2" t="str">
        <f aca="false">IF(K714="","",IF(ABS(K714)&gt;0.05,"CHECK","OK"))</f>
        <v>OK</v>
      </c>
    </row>
    <row r="715" customFormat="false" ht="15" hidden="false" customHeight="false" outlineLevel="0" collapsed="false">
      <c r="A715" s="2" t="s">
        <v>43</v>
      </c>
      <c r="B715" s="2" t="n">
        <v>1991</v>
      </c>
      <c r="C715" s="2" t="s">
        <v>87</v>
      </c>
      <c r="D715" s="3" t="n">
        <v>775870</v>
      </c>
      <c r="E715" s="3" t="n">
        <v>351140</v>
      </c>
      <c r="F715" s="2" t="s">
        <v>14</v>
      </c>
      <c r="G715" s="3" t="n">
        <v>453</v>
      </c>
      <c r="H715" s="2" t="s">
        <v>15</v>
      </c>
      <c r="I715" s="2" t="n">
        <v>1000</v>
      </c>
      <c r="J715" s="4" t="n">
        <f aca="false">IFERROR(E715*I715/D715,"")</f>
        <v>452.575818113859</v>
      </c>
      <c r="K715" s="5" t="n">
        <f aca="false">IFERROR((J715-G715)/G715,"")</f>
        <v>-0.000936383854615297</v>
      </c>
      <c r="L715" s="2" t="str">
        <f aca="false">IF(K715="","",IF(ABS(K715)&gt;0.05,"CHECK","OK"))</f>
        <v>OK</v>
      </c>
    </row>
    <row r="716" customFormat="false" ht="15" hidden="false" customHeight="false" outlineLevel="0" collapsed="false">
      <c r="A716" s="2" t="s">
        <v>44</v>
      </c>
      <c r="B716" s="2" t="n">
        <v>1992</v>
      </c>
      <c r="C716" s="2" t="s">
        <v>86</v>
      </c>
      <c r="D716" s="3" t="n">
        <v>121020</v>
      </c>
      <c r="E716" s="3" t="n">
        <v>56080</v>
      </c>
      <c r="F716" s="2" t="s">
        <v>14</v>
      </c>
      <c r="G716" s="3" t="n">
        <v>463</v>
      </c>
      <c r="H716" s="2" t="s">
        <v>15</v>
      </c>
      <c r="I716" s="2" t="n">
        <v>1000</v>
      </c>
      <c r="J716" s="4" t="n">
        <f aca="false">IFERROR(E716*I716/D716,"")</f>
        <v>463.394480251198</v>
      </c>
      <c r="K716" s="5" t="n">
        <f aca="false">IFERROR((J716-G716)/G716,"")</f>
        <v>0.000852009181853479</v>
      </c>
      <c r="L716" s="2" t="str">
        <f aca="false">IF(K716="","",IF(ABS(K716)&gt;0.05,"CHECK","OK"))</f>
        <v>OK</v>
      </c>
    </row>
    <row r="717" customFormat="false" ht="15" hidden="false" customHeight="false" outlineLevel="0" collapsed="false">
      <c r="A717" s="2" t="s">
        <v>44</v>
      </c>
      <c r="B717" s="2" t="n">
        <v>1992</v>
      </c>
      <c r="C717" s="2" t="s">
        <v>87</v>
      </c>
      <c r="D717" s="3" t="n">
        <v>738964</v>
      </c>
      <c r="E717" s="3" t="n">
        <v>342630</v>
      </c>
      <c r="F717" s="2" t="s">
        <v>14</v>
      </c>
      <c r="G717" s="3" t="n">
        <v>464</v>
      </c>
      <c r="H717" s="2" t="s">
        <v>15</v>
      </c>
      <c r="I717" s="2" t="n">
        <v>1000</v>
      </c>
      <c r="J717" s="4" t="n">
        <f aca="false">IFERROR(E717*I717/D717,"")</f>
        <v>463.662641211209</v>
      </c>
      <c r="K717" s="5" t="n">
        <f aca="false">IFERROR((J717-G717)/G717,"")</f>
        <v>-0.000727066355152513</v>
      </c>
      <c r="L717" s="2" t="str">
        <f aca="false">IF(K717="","",IF(ABS(K717)&gt;0.05,"CHECK","OK"))</f>
        <v>OK</v>
      </c>
    </row>
    <row r="718" customFormat="false" ht="15" hidden="false" customHeight="false" outlineLevel="0" collapsed="false">
      <c r="A718" s="2" t="s">
        <v>45</v>
      </c>
      <c r="B718" s="2" t="n">
        <v>1993</v>
      </c>
      <c r="C718" s="2" t="s">
        <v>86</v>
      </c>
      <c r="D718" s="3" t="n">
        <v>127600</v>
      </c>
      <c r="E718" s="3" t="n">
        <v>63360</v>
      </c>
      <c r="F718" s="2" t="s">
        <v>14</v>
      </c>
      <c r="G718" s="3" t="n">
        <v>497</v>
      </c>
      <c r="H718" s="2" t="s">
        <v>15</v>
      </c>
      <c r="I718" s="2" t="n">
        <v>1000</v>
      </c>
      <c r="J718" s="4" t="n">
        <f aca="false">IFERROR(E718*I718/D718,"")</f>
        <v>496.551724137931</v>
      </c>
      <c r="K718" s="5" t="n">
        <f aca="false">IFERROR((J718-G718)/G718,"")</f>
        <v>-0.000901963505168921</v>
      </c>
      <c r="L718" s="2" t="str">
        <f aca="false">IF(K718="","",IF(ABS(K718)&gt;0.05,"CHECK","OK"))</f>
        <v>OK</v>
      </c>
    </row>
    <row r="719" customFormat="false" ht="15" hidden="false" customHeight="false" outlineLevel="0" collapsed="false">
      <c r="A719" s="2" t="s">
        <v>45</v>
      </c>
      <c r="B719" s="2" t="n">
        <v>1993</v>
      </c>
      <c r="C719" s="2" t="s">
        <v>87</v>
      </c>
      <c r="D719" s="3" t="n">
        <v>689858</v>
      </c>
      <c r="E719" s="3" t="n">
        <v>276360</v>
      </c>
      <c r="F719" s="2" t="s">
        <v>14</v>
      </c>
      <c r="G719" s="3" t="n">
        <v>401</v>
      </c>
      <c r="H719" s="2" t="s">
        <v>15</v>
      </c>
      <c r="I719" s="2" t="n">
        <v>1000</v>
      </c>
      <c r="J719" s="4" t="n">
        <f aca="false">IFERROR(E719*I719/D719,"")</f>
        <v>400.604182309983</v>
      </c>
      <c r="K719" s="5" t="n">
        <f aca="false">IFERROR((J719-G719)/G719,"")</f>
        <v>-0.000987076533709073</v>
      </c>
      <c r="L719" s="2" t="str">
        <f aca="false">IF(K719="","",IF(ABS(K719)&gt;0.05,"CHECK","OK"))</f>
        <v>OK</v>
      </c>
    </row>
    <row r="720" customFormat="false" ht="15" hidden="false" customHeight="false" outlineLevel="0" collapsed="false">
      <c r="A720" s="2" t="s">
        <v>46</v>
      </c>
      <c r="B720" s="2" t="n">
        <v>1994</v>
      </c>
      <c r="C720" s="2" t="s">
        <v>86</v>
      </c>
      <c r="D720" s="3" t="n">
        <v>127862</v>
      </c>
      <c r="E720" s="3" t="n">
        <v>59250</v>
      </c>
      <c r="F720" s="2" t="s">
        <v>14</v>
      </c>
      <c r="G720" s="3" t="n">
        <v>463</v>
      </c>
      <c r="H720" s="2" t="s">
        <v>15</v>
      </c>
      <c r="I720" s="2" t="n">
        <v>1000</v>
      </c>
      <c r="J720" s="4" t="n">
        <f aca="false">IFERROR(E720*I720/D720,"")</f>
        <v>463.390217578327</v>
      </c>
      <c r="K720" s="5" t="n">
        <f aca="false">IFERROR((J720-G720)/G720,"")</f>
        <v>0.000842802544981978</v>
      </c>
      <c r="L720" s="2" t="str">
        <f aca="false">IF(K720="","",IF(ABS(K720)&gt;0.05,"CHECK","OK"))</f>
        <v>OK</v>
      </c>
    </row>
    <row r="721" customFormat="false" ht="15" hidden="false" customHeight="false" outlineLevel="0" collapsed="false">
      <c r="A721" s="2" t="s">
        <v>46</v>
      </c>
      <c r="B721" s="2" t="n">
        <v>1994</v>
      </c>
      <c r="C721" s="2" t="s">
        <v>87</v>
      </c>
      <c r="D721" s="3" t="n">
        <v>691283</v>
      </c>
      <c r="E721" s="3" t="n">
        <v>340050</v>
      </c>
      <c r="F721" s="2" t="s">
        <v>14</v>
      </c>
      <c r="G721" s="3" t="n">
        <v>492</v>
      </c>
      <c r="H721" s="2" t="s">
        <v>15</v>
      </c>
      <c r="I721" s="2" t="n">
        <v>1000</v>
      </c>
      <c r="J721" s="4" t="n">
        <f aca="false">IFERROR(E721*I721/D721,"")</f>
        <v>491.91141688715</v>
      </c>
      <c r="K721" s="5" t="n">
        <f aca="false">IFERROR((J721-G721)/G721,"")</f>
        <v>-0.000180046977336509</v>
      </c>
      <c r="L721" s="2" t="str">
        <f aca="false">IF(K721="","",IF(ABS(K721)&gt;0.05,"CHECK","OK"))</f>
        <v>OK</v>
      </c>
    </row>
    <row r="722" customFormat="false" ht="15" hidden="false" customHeight="false" outlineLevel="0" collapsed="false">
      <c r="A722" s="2" t="s">
        <v>47</v>
      </c>
      <c r="B722" s="2" t="n">
        <v>1995</v>
      </c>
      <c r="C722" s="2" t="s">
        <v>86</v>
      </c>
      <c r="D722" s="3" t="n">
        <v>90995</v>
      </c>
      <c r="E722" s="3" t="n">
        <v>28950</v>
      </c>
      <c r="F722" s="2" t="s">
        <v>14</v>
      </c>
      <c r="G722" s="3" t="n">
        <v>318</v>
      </c>
      <c r="H722" s="2" t="s">
        <v>15</v>
      </c>
      <c r="I722" s="2" t="n">
        <v>1000</v>
      </c>
      <c r="J722" s="4" t="n">
        <f aca="false">IFERROR(E722*I722/D722,"")</f>
        <v>318.149348865322</v>
      </c>
      <c r="K722" s="5" t="n">
        <f aca="false">IFERROR((J722-G722)/G722,"")</f>
        <v>0.000469650519881387</v>
      </c>
      <c r="L722" s="2" t="str">
        <f aca="false">IF(K722="","",IF(ABS(K722)&gt;0.05,"CHECK","OK"))</f>
        <v>OK</v>
      </c>
    </row>
    <row r="723" customFormat="false" ht="15" hidden="false" customHeight="false" outlineLevel="0" collapsed="false">
      <c r="A723" s="2" t="s">
        <v>47</v>
      </c>
      <c r="B723" s="2" t="n">
        <v>1995</v>
      </c>
      <c r="C723" s="2" t="s">
        <v>87</v>
      </c>
      <c r="D723" s="3" t="n">
        <v>577267</v>
      </c>
      <c r="E723" s="3" t="n">
        <v>233070</v>
      </c>
      <c r="F723" s="2" t="s">
        <v>14</v>
      </c>
      <c r="G723" s="3" t="n">
        <v>404</v>
      </c>
      <c r="H723" s="2" t="s">
        <v>15</v>
      </c>
      <c r="I723" s="2" t="n">
        <v>1000</v>
      </c>
      <c r="J723" s="4" t="n">
        <f aca="false">IFERROR(E723*I723/D723,"")</f>
        <v>403.747312768615</v>
      </c>
      <c r="K723" s="5" t="n">
        <f aca="false">IFERROR((J723-G723)/G723,"")</f>
        <v>-0.000625463444022655</v>
      </c>
      <c r="L723" s="2" t="str">
        <f aca="false">IF(K723="","",IF(ABS(K723)&gt;0.05,"CHECK","OK"))</f>
        <v>OK</v>
      </c>
    </row>
    <row r="724" customFormat="false" ht="15" hidden="false" customHeight="false" outlineLevel="0" collapsed="false">
      <c r="A724" s="2" t="s">
        <v>48</v>
      </c>
      <c r="B724" s="2" t="n">
        <v>1996</v>
      </c>
      <c r="C724" s="2" t="s">
        <v>86</v>
      </c>
      <c r="D724" s="3" t="n">
        <v>77478</v>
      </c>
      <c r="E724" s="3" t="n">
        <v>29970</v>
      </c>
      <c r="F724" s="2" t="s">
        <v>14</v>
      </c>
      <c r="G724" s="3" t="n">
        <v>387</v>
      </c>
      <c r="H724" s="2" t="s">
        <v>15</v>
      </c>
      <c r="I724" s="2" t="n">
        <v>1000</v>
      </c>
      <c r="J724" s="4" t="n">
        <f aca="false">IFERROR(E724*I724/D724,"")</f>
        <v>386.819484240688</v>
      </c>
      <c r="K724" s="5" t="n">
        <f aca="false">IFERROR((J724-G724)/G724,"")</f>
        <v>-0.000466448990471059</v>
      </c>
      <c r="L724" s="2" t="str">
        <f aca="false">IF(K724="","",IF(ABS(K724)&gt;0.05,"CHECK","OK"))</f>
        <v>OK</v>
      </c>
    </row>
    <row r="725" customFormat="false" ht="15" hidden="false" customHeight="false" outlineLevel="0" collapsed="false">
      <c r="A725" s="2" t="s">
        <v>48</v>
      </c>
      <c r="B725" s="2" t="n">
        <v>1996</v>
      </c>
      <c r="C725" s="2" t="s">
        <v>87</v>
      </c>
      <c r="D725" s="3" t="n">
        <v>581551</v>
      </c>
      <c r="E725" s="3" t="n">
        <v>232810</v>
      </c>
      <c r="F725" s="2" t="s">
        <v>14</v>
      </c>
      <c r="G725" s="3" t="n">
        <v>400</v>
      </c>
      <c r="H725" s="2" t="s">
        <v>15</v>
      </c>
      <c r="I725" s="2" t="n">
        <v>1000</v>
      </c>
      <c r="J725" s="4" t="n">
        <f aca="false">IFERROR(E725*I725/D725,"")</f>
        <v>400.326024716663</v>
      </c>
      <c r="K725" s="5" t="n">
        <f aca="false">IFERROR((J725-G725)/G725,"")</f>
        <v>0.000815061791657143</v>
      </c>
      <c r="L725" s="2" t="str">
        <f aca="false">IF(K725="","",IF(ABS(K725)&gt;0.05,"CHECK","OK"))</f>
        <v>OK</v>
      </c>
    </row>
    <row r="726" customFormat="false" ht="15" hidden="false" customHeight="false" outlineLevel="0" collapsed="false">
      <c r="A726" s="2" t="s">
        <v>49</v>
      </c>
      <c r="B726" s="2" t="n">
        <v>1997</v>
      </c>
      <c r="C726" s="2" t="s">
        <v>86</v>
      </c>
      <c r="D726" s="3" t="n">
        <v>84389</v>
      </c>
      <c r="E726" s="3" t="n">
        <v>42880</v>
      </c>
      <c r="F726" s="2" t="s">
        <v>14</v>
      </c>
      <c r="G726" s="3" t="n">
        <v>508</v>
      </c>
      <c r="H726" s="2" t="s">
        <v>15</v>
      </c>
      <c r="I726" s="2" t="n">
        <v>1000</v>
      </c>
      <c r="J726" s="4" t="n">
        <f aca="false">IFERROR(E726*I726/D726,"")</f>
        <v>508.123096612118</v>
      </c>
      <c r="K726" s="5" t="n">
        <f aca="false">IFERROR((J726-G726)/G726,"")</f>
        <v>0.000242316165586036</v>
      </c>
      <c r="L726" s="2" t="str">
        <f aca="false">IF(K726="","",IF(ABS(K726)&gt;0.05,"CHECK","OK"))</f>
        <v>OK</v>
      </c>
    </row>
    <row r="727" customFormat="false" ht="15" hidden="false" customHeight="false" outlineLevel="0" collapsed="false">
      <c r="A727" s="2" t="s">
        <v>49</v>
      </c>
      <c r="B727" s="2" t="n">
        <v>1997</v>
      </c>
      <c r="C727" s="2" t="s">
        <v>87</v>
      </c>
      <c r="D727" s="3" t="n">
        <v>591481</v>
      </c>
      <c r="E727" s="3" t="n">
        <v>244170</v>
      </c>
      <c r="F727" s="2" t="s">
        <v>14</v>
      </c>
      <c r="G727" s="3" t="n">
        <v>413</v>
      </c>
      <c r="H727" s="2" t="s">
        <v>15</v>
      </c>
      <c r="I727" s="2" t="n">
        <v>1000</v>
      </c>
      <c r="J727" s="4" t="n">
        <f aca="false">IFERROR(E727*I727/D727,"")</f>
        <v>412.811231468128</v>
      </c>
      <c r="K727" s="5" t="n">
        <f aca="false">IFERROR((J727-G727)/G727,"")</f>
        <v>-0.000457066663127573</v>
      </c>
      <c r="L727" s="2" t="str">
        <f aca="false">IF(K727="","",IF(ABS(K727)&gt;0.05,"CHECK","OK"))</f>
        <v>OK</v>
      </c>
    </row>
    <row r="728" customFormat="false" ht="15" hidden="false" customHeight="false" outlineLevel="0" collapsed="false">
      <c r="A728" s="2" t="s">
        <v>50</v>
      </c>
      <c r="B728" s="2" t="n">
        <v>1998</v>
      </c>
      <c r="C728" s="2" t="s">
        <v>86</v>
      </c>
      <c r="D728" s="3" t="n">
        <v>84002</v>
      </c>
      <c r="E728" s="3" t="n">
        <v>42450</v>
      </c>
      <c r="F728" s="2" t="s">
        <v>14</v>
      </c>
      <c r="G728" s="3" t="n">
        <v>505</v>
      </c>
      <c r="H728" s="2" t="s">
        <v>15</v>
      </c>
      <c r="I728" s="2" t="n">
        <v>1000</v>
      </c>
      <c r="J728" s="4" t="n">
        <f aca="false">IFERROR(E728*I728/D728,"")</f>
        <v>505.345110830695</v>
      </c>
      <c r="K728" s="5" t="n">
        <f aca="false">IFERROR((J728-G728)/G728,"")</f>
        <v>0.000683387783553511</v>
      </c>
      <c r="L728" s="2" t="str">
        <f aca="false">IF(K728="","",IF(ABS(K728)&gt;0.05,"CHECK","OK"))</f>
        <v>OK</v>
      </c>
    </row>
    <row r="729" customFormat="false" ht="15" hidden="false" customHeight="false" outlineLevel="0" collapsed="false">
      <c r="A729" s="2" t="s">
        <v>50</v>
      </c>
      <c r="B729" s="2" t="n">
        <v>1998</v>
      </c>
      <c r="C729" s="2" t="s">
        <v>87</v>
      </c>
      <c r="D729" s="3" t="n">
        <v>637065</v>
      </c>
      <c r="E729" s="3" t="n">
        <v>304280</v>
      </c>
      <c r="F729" s="2" t="s">
        <v>14</v>
      </c>
      <c r="G729" s="3" t="n">
        <v>478</v>
      </c>
      <c r="H729" s="2" t="s">
        <v>15</v>
      </c>
      <c r="I729" s="2" t="n">
        <v>1000</v>
      </c>
      <c r="J729" s="4" t="n">
        <f aca="false">IFERROR(E729*I729/D729,"")</f>
        <v>477.627871567266</v>
      </c>
      <c r="K729" s="5" t="n">
        <f aca="false">IFERROR((J729-G729)/G729,"")</f>
        <v>-0.000778511365553315</v>
      </c>
      <c r="L729" s="2" t="str">
        <f aca="false">IF(K729="","",IF(ABS(K729)&gt;0.05,"CHECK","OK"))</f>
        <v>OK</v>
      </c>
    </row>
    <row r="730" customFormat="false" ht="15" hidden="false" customHeight="false" outlineLevel="0" collapsed="false">
      <c r="A730" s="2" t="s">
        <v>51</v>
      </c>
      <c r="B730" s="2" t="n">
        <v>1999</v>
      </c>
      <c r="C730" s="2" t="s">
        <v>86</v>
      </c>
      <c r="D730" s="3" t="n">
        <v>104092</v>
      </c>
      <c r="E730" s="3" t="n">
        <v>53350</v>
      </c>
      <c r="F730" s="2" t="s">
        <v>14</v>
      </c>
      <c r="G730" s="3" t="n">
        <v>513</v>
      </c>
      <c r="H730" s="2" t="s">
        <v>15</v>
      </c>
      <c r="I730" s="2" t="n">
        <v>1000</v>
      </c>
      <c r="J730" s="4" t="n">
        <f aca="false">IFERROR(E730*I730/D730,"")</f>
        <v>512.527379625716</v>
      </c>
      <c r="K730" s="5" t="n">
        <f aca="false">IFERROR((J730-G730)/G730,"")</f>
        <v>-0.000921287279306525</v>
      </c>
      <c r="L730" s="2" t="str">
        <f aca="false">IF(K730="","",IF(ABS(K730)&gt;0.05,"CHECK","OK"))</f>
        <v>OK</v>
      </c>
    </row>
    <row r="731" customFormat="false" ht="15" hidden="false" customHeight="false" outlineLevel="0" collapsed="false">
      <c r="A731" s="2" t="s">
        <v>51</v>
      </c>
      <c r="B731" s="2" t="n">
        <v>1999</v>
      </c>
      <c r="C731" s="2" t="s">
        <v>87</v>
      </c>
      <c r="D731" s="3" t="n">
        <v>692539</v>
      </c>
      <c r="E731" s="3" t="n">
        <v>290790</v>
      </c>
      <c r="F731" s="2" t="s">
        <v>14</v>
      </c>
      <c r="G731" s="3" t="n">
        <v>420</v>
      </c>
      <c r="H731" s="2" t="s">
        <v>15</v>
      </c>
      <c r="I731" s="2" t="n">
        <v>1000</v>
      </c>
      <c r="J731" s="4" t="n">
        <f aca="false">IFERROR(E731*I731/D731,"")</f>
        <v>419.889710182387</v>
      </c>
      <c r="K731" s="5" t="n">
        <f aca="false">IFERROR((J731-G731)/G731,"")</f>
        <v>-0.0002625948038408</v>
      </c>
      <c r="L731" s="2" t="str">
        <f aca="false">IF(K731="","",IF(ABS(K731)&gt;0.05,"CHECK","OK"))</f>
        <v>OK</v>
      </c>
    </row>
    <row r="732" customFormat="false" ht="15" hidden="false" customHeight="false" outlineLevel="0" collapsed="false">
      <c r="A732" s="2" t="s">
        <v>52</v>
      </c>
      <c r="B732" s="2" t="n">
        <v>2000</v>
      </c>
      <c r="C732" s="2" t="s">
        <v>86</v>
      </c>
      <c r="D732" s="3" t="n">
        <v>101933</v>
      </c>
      <c r="E732" s="3" t="n">
        <v>46830</v>
      </c>
      <c r="F732" s="2" t="s">
        <v>14</v>
      </c>
      <c r="G732" s="3" t="n">
        <v>459</v>
      </c>
      <c r="H732" s="2" t="s">
        <v>15</v>
      </c>
      <c r="I732" s="2" t="n">
        <v>1000</v>
      </c>
      <c r="J732" s="4" t="n">
        <f aca="false">IFERROR(E732*I732/D732,"")</f>
        <v>459.419422561879</v>
      </c>
      <c r="K732" s="5" t="n">
        <f aca="false">IFERROR((J732-G732)/G732,"")</f>
        <v>0.000913774644616316</v>
      </c>
      <c r="L732" s="2" t="str">
        <f aca="false">IF(K732="","",IF(ABS(K732)&gt;0.05,"CHECK","OK"))</f>
        <v>OK</v>
      </c>
    </row>
    <row r="733" customFormat="false" ht="15" hidden="false" customHeight="false" outlineLevel="0" collapsed="false">
      <c r="A733" s="2" t="s">
        <v>52</v>
      </c>
      <c r="B733" s="2" t="n">
        <v>2000</v>
      </c>
      <c r="C733" s="2" t="s">
        <v>87</v>
      </c>
      <c r="D733" s="3" t="n">
        <v>687931</v>
      </c>
      <c r="E733" s="3" t="n">
        <v>312643</v>
      </c>
      <c r="F733" s="2" t="s">
        <v>14</v>
      </c>
      <c r="G733" s="3" t="n">
        <v>454</v>
      </c>
      <c r="H733" s="2" t="s">
        <v>15</v>
      </c>
      <c r="I733" s="2" t="n">
        <v>1000</v>
      </c>
      <c r="J733" s="4" t="n">
        <f aca="false">IFERROR(E733*I733/D733,"")</f>
        <v>454.468544083636</v>
      </c>
      <c r="K733" s="5" t="n">
        <f aca="false">IFERROR((J733-G733)/G733,"")</f>
        <v>0.00103203542651165</v>
      </c>
      <c r="L733" s="2" t="str">
        <f aca="false">IF(K733="","",IF(ABS(K733)&gt;0.05,"CHECK","OK"))</f>
        <v>OK</v>
      </c>
    </row>
    <row r="734" customFormat="false" ht="15" hidden="false" customHeight="false" outlineLevel="0" collapsed="false">
      <c r="A734" s="2" t="s">
        <v>53</v>
      </c>
      <c r="B734" s="2" t="n">
        <v>2001</v>
      </c>
      <c r="C734" s="2" t="s">
        <v>86</v>
      </c>
      <c r="D734" s="3" t="n">
        <v>99980</v>
      </c>
      <c r="E734" s="3" t="n">
        <v>42570</v>
      </c>
      <c r="F734" s="2" t="s">
        <v>14</v>
      </c>
      <c r="G734" s="3" t="n">
        <v>426</v>
      </c>
      <c r="H734" s="2" t="s">
        <v>15</v>
      </c>
      <c r="I734" s="2" t="n">
        <v>1000</v>
      </c>
      <c r="J734" s="4" t="n">
        <f aca="false">IFERROR(E734*I734/D734,"")</f>
        <v>425.785157031406</v>
      </c>
      <c r="K734" s="5" t="n">
        <f aca="false">IFERROR((J734-G734)/G734,"")</f>
        <v>-0.000504326217356104</v>
      </c>
      <c r="L734" s="2" t="str">
        <f aca="false">IF(K734="","",IF(ABS(K734)&gt;0.05,"CHECK","OK"))</f>
        <v>OK</v>
      </c>
    </row>
    <row r="735" customFormat="false" ht="15" hidden="false" customHeight="false" outlineLevel="0" collapsed="false">
      <c r="A735" s="2" t="s">
        <v>53</v>
      </c>
      <c r="B735" s="2" t="n">
        <v>2001</v>
      </c>
      <c r="C735" s="2" t="s">
        <v>87</v>
      </c>
      <c r="D735" s="3" t="n">
        <v>685403</v>
      </c>
      <c r="E735" s="3" t="n">
        <v>270719</v>
      </c>
      <c r="F735" s="2" t="s">
        <v>14</v>
      </c>
      <c r="G735" s="3" t="n">
        <v>395</v>
      </c>
      <c r="H735" s="2" t="s">
        <v>15</v>
      </c>
      <c r="I735" s="2" t="n">
        <v>1000</v>
      </c>
      <c r="J735" s="4" t="n">
        <f aca="false">IFERROR(E735*I735/D735,"")</f>
        <v>394.977845150955</v>
      </c>
      <c r="K735" s="5" t="n">
        <f aca="false">IFERROR((J735-G735)/G735,"")</f>
        <v>-5.60882254304384E-005</v>
      </c>
      <c r="L735" s="2" t="str">
        <f aca="false">IF(K735="","",IF(ABS(K735)&gt;0.05,"CHECK","OK"))</f>
        <v>OK</v>
      </c>
    </row>
    <row r="736" customFormat="false" ht="15" hidden="false" customHeight="false" outlineLevel="0" collapsed="false">
      <c r="A736" s="2" t="s">
        <v>54</v>
      </c>
      <c r="B736" s="2" t="n">
        <v>2002</v>
      </c>
      <c r="C736" s="2" t="s">
        <v>86</v>
      </c>
      <c r="D736" s="3" t="n">
        <v>81711</v>
      </c>
      <c r="E736" s="3" t="n">
        <v>20782</v>
      </c>
      <c r="F736" s="2" t="s">
        <v>14</v>
      </c>
      <c r="G736" s="3" t="n">
        <v>254</v>
      </c>
      <c r="H736" s="2" t="s">
        <v>15</v>
      </c>
      <c r="I736" s="2" t="n">
        <v>1000</v>
      </c>
      <c r="J736" s="4" t="n">
        <f aca="false">IFERROR(E736*I736/D736,"")</f>
        <v>254.335401598316</v>
      </c>
      <c r="K736" s="5" t="n">
        <f aca="false">IFERROR((J736-G736)/G736,"")</f>
        <v>0.00132047873352766</v>
      </c>
      <c r="L736" s="2" t="str">
        <f aca="false">IF(K736="","",IF(ABS(K736)&gt;0.05,"CHECK","OK"))</f>
        <v>OK</v>
      </c>
    </row>
    <row r="737" customFormat="false" ht="15" hidden="false" customHeight="false" outlineLevel="0" collapsed="false">
      <c r="A737" s="2" t="s">
        <v>54</v>
      </c>
      <c r="B737" s="2" t="n">
        <v>2002</v>
      </c>
      <c r="C737" s="2" t="s">
        <v>87</v>
      </c>
      <c r="D737" s="3" t="n">
        <v>562983</v>
      </c>
      <c r="E737" s="3" t="n">
        <v>200479</v>
      </c>
      <c r="F737" s="2" t="s">
        <v>14</v>
      </c>
      <c r="G737" s="3" t="n">
        <v>356</v>
      </c>
      <c r="H737" s="2" t="s">
        <v>15</v>
      </c>
      <c r="I737" s="2" t="n">
        <v>1000</v>
      </c>
      <c r="J737" s="4" t="n">
        <f aca="false">IFERROR(E737*I737/D737,"")</f>
        <v>356.101338761561</v>
      </c>
      <c r="K737" s="5" t="n">
        <f aca="false">IFERROR((J737-G737)/G737,"")</f>
        <v>0.000284659442587586</v>
      </c>
      <c r="L737" s="2" t="str">
        <f aca="false">IF(K737="","",IF(ABS(K737)&gt;0.05,"CHECK","OK"))</f>
        <v>OK</v>
      </c>
    </row>
    <row r="738" customFormat="false" ht="15" hidden="false" customHeight="false" outlineLevel="0" collapsed="false">
      <c r="A738" s="2" t="s">
        <v>55</v>
      </c>
      <c r="B738" s="2" t="n">
        <v>2003</v>
      </c>
      <c r="C738" s="2" t="s">
        <v>86</v>
      </c>
      <c r="D738" s="3" t="n">
        <v>68092</v>
      </c>
      <c r="E738" s="3" t="n">
        <v>18240</v>
      </c>
      <c r="F738" s="2" t="s">
        <v>14</v>
      </c>
      <c r="G738" s="3" t="n">
        <v>268</v>
      </c>
      <c r="H738" s="2" t="s">
        <v>15</v>
      </c>
      <c r="I738" s="2" t="n">
        <v>1000</v>
      </c>
      <c r="J738" s="4" t="n">
        <f aca="false">IFERROR(E738*I738/D738,"")</f>
        <v>267.872877871116</v>
      </c>
      <c r="K738" s="5" t="n">
        <f aca="false">IFERROR((J738-G738)/G738,"")</f>
        <v>-0.000474336301807549</v>
      </c>
      <c r="L738" s="2" t="str">
        <f aca="false">IF(K738="","",IF(ABS(K738)&gt;0.05,"CHECK","OK"))</f>
        <v>OK</v>
      </c>
    </row>
    <row r="739" customFormat="false" ht="15" hidden="false" customHeight="false" outlineLevel="0" collapsed="false">
      <c r="A739" s="2" t="s">
        <v>55</v>
      </c>
      <c r="B739" s="2" t="n">
        <v>2003</v>
      </c>
      <c r="C739" s="2" t="s">
        <v>87</v>
      </c>
      <c r="D739" s="3" t="n">
        <v>536849</v>
      </c>
      <c r="E739" s="3" t="n">
        <v>201056</v>
      </c>
      <c r="F739" s="2" t="s">
        <v>14</v>
      </c>
      <c r="G739" s="3" t="n">
        <v>375</v>
      </c>
      <c r="H739" s="2" t="s">
        <v>15</v>
      </c>
      <c r="I739" s="2" t="n">
        <v>1000</v>
      </c>
      <c r="J739" s="4" t="n">
        <f aca="false">IFERROR(E739*I739/D739,"")</f>
        <v>374.511268531747</v>
      </c>
      <c r="K739" s="5" t="n">
        <f aca="false">IFERROR((J739-G739)/G739,"")</f>
        <v>-0.00130328391534052</v>
      </c>
      <c r="L739" s="2" t="str">
        <f aca="false">IF(K739="","",IF(ABS(K739)&gt;0.05,"CHECK","OK"))</f>
        <v>OK</v>
      </c>
    </row>
    <row r="740" customFormat="false" ht="15" hidden="false" customHeight="false" outlineLevel="0" collapsed="false">
      <c r="A740" s="2" t="s">
        <v>56</v>
      </c>
      <c r="B740" s="2" t="n">
        <v>2004</v>
      </c>
      <c r="C740" s="2" t="s">
        <v>86</v>
      </c>
      <c r="D740" s="3" t="n">
        <v>67513</v>
      </c>
      <c r="E740" s="3" t="n">
        <v>20110</v>
      </c>
      <c r="F740" s="2" t="s">
        <v>14</v>
      </c>
      <c r="G740" s="3" t="n">
        <v>298</v>
      </c>
      <c r="H740" s="2" t="s">
        <v>15</v>
      </c>
      <c r="I740" s="2" t="n">
        <v>1000</v>
      </c>
      <c r="J740" s="4" t="n">
        <f aca="false">IFERROR(E740*I740/D740,"")</f>
        <v>297.868558647964</v>
      </c>
      <c r="K740" s="5" t="n">
        <f aca="false">IFERROR((J740-G740)/G740,"")</f>
        <v>-0.000441078362536552</v>
      </c>
      <c r="L740" s="2" t="str">
        <f aca="false">IF(K740="","",IF(ABS(K740)&gt;0.05,"CHECK","OK"))</f>
        <v>OK</v>
      </c>
    </row>
    <row r="741" customFormat="false" ht="15" hidden="false" customHeight="false" outlineLevel="0" collapsed="false">
      <c r="A741" s="2" t="s">
        <v>56</v>
      </c>
      <c r="B741" s="2" t="n">
        <v>2004</v>
      </c>
      <c r="C741" s="2" t="s">
        <v>87</v>
      </c>
      <c r="D741" s="3" t="n">
        <v>590250</v>
      </c>
      <c r="E741" s="3" t="n">
        <v>216431</v>
      </c>
      <c r="F741" s="2" t="s">
        <v>14</v>
      </c>
      <c r="G741" s="3" t="n">
        <v>367</v>
      </c>
      <c r="H741" s="2" t="s">
        <v>15</v>
      </c>
      <c r="I741" s="2" t="n">
        <v>1000</v>
      </c>
      <c r="J741" s="4" t="n">
        <f aca="false">IFERROR(E741*I741/D741,"")</f>
        <v>366.676831850911</v>
      </c>
      <c r="K741" s="5" t="n">
        <f aca="false">IFERROR((J741-G741)/G741,"")</f>
        <v>-0.00088056716373129</v>
      </c>
      <c r="L741" s="2" t="str">
        <f aca="false">IF(K741="","",IF(ABS(K741)&gt;0.05,"CHECK","OK"))</f>
        <v>OK</v>
      </c>
    </row>
    <row r="742" customFormat="false" ht="15" hidden="false" customHeight="false" outlineLevel="0" collapsed="false">
      <c r="A742" s="2" t="s">
        <v>57</v>
      </c>
      <c r="B742" s="2" t="n">
        <v>2005</v>
      </c>
      <c r="C742" s="2" t="s">
        <v>86</v>
      </c>
      <c r="D742" s="3" t="n">
        <v>60415</v>
      </c>
      <c r="E742" s="3" t="n">
        <v>22023</v>
      </c>
      <c r="F742" s="2" t="s">
        <v>14</v>
      </c>
      <c r="G742" s="3" t="n">
        <v>365</v>
      </c>
      <c r="H742" s="2" t="s">
        <v>15</v>
      </c>
      <c r="I742" s="2" t="n">
        <v>1000</v>
      </c>
      <c r="J742" s="4" t="n">
        <f aca="false">IFERROR(E742*I742/D742,"")</f>
        <v>364.528676653149</v>
      </c>
      <c r="K742" s="5" t="n">
        <f aca="false">IFERROR((J742-G742)/G742,"")</f>
        <v>-0.00129129684068758</v>
      </c>
      <c r="L742" s="2" t="str">
        <f aca="false">IF(K742="","",IF(ABS(K742)&gt;0.05,"CHECK","OK"))</f>
        <v>OK</v>
      </c>
    </row>
    <row r="743" customFormat="false" ht="15" hidden="false" customHeight="false" outlineLevel="0" collapsed="false">
      <c r="A743" s="2" t="s">
        <v>57</v>
      </c>
      <c r="B743" s="2" t="n">
        <v>2005</v>
      </c>
      <c r="C743" s="2" t="s">
        <v>87</v>
      </c>
      <c r="D743" s="3" t="n">
        <v>525237</v>
      </c>
      <c r="E743" s="3" t="n">
        <v>177003</v>
      </c>
      <c r="F743" s="2" t="s">
        <v>14</v>
      </c>
      <c r="G743" s="3" t="n">
        <v>337</v>
      </c>
      <c r="H743" s="2" t="s">
        <v>15</v>
      </c>
      <c r="I743" s="2" t="n">
        <v>1000</v>
      </c>
      <c r="J743" s="4" t="n">
        <f aca="false">IFERROR(E743*I743/D743,"")</f>
        <v>336.996441606361</v>
      </c>
      <c r="K743" s="5" t="n">
        <f aca="false">IFERROR((J743-G743)/G743,"")</f>
        <v>-1.05590315709888E-005</v>
      </c>
      <c r="L743" s="2" t="str">
        <f aca="false">IF(K743="","",IF(ABS(K743)&gt;0.05,"CHECK","OK"))</f>
        <v>OK</v>
      </c>
    </row>
    <row r="744" customFormat="false" ht="15" hidden="false" customHeight="false" outlineLevel="0" collapsed="false">
      <c r="A744" s="2" t="s">
        <v>58</v>
      </c>
      <c r="B744" s="2" t="n">
        <v>2006</v>
      </c>
      <c r="C744" s="2" t="s">
        <v>86</v>
      </c>
      <c r="D744" s="3" t="n">
        <v>55635</v>
      </c>
      <c r="E744" s="3" t="n">
        <v>32549</v>
      </c>
      <c r="F744" s="2" t="s">
        <v>14</v>
      </c>
      <c r="G744" s="3" t="n">
        <v>585</v>
      </c>
      <c r="H744" s="2" t="s">
        <v>15</v>
      </c>
      <c r="I744" s="2" t="n">
        <v>1000</v>
      </c>
      <c r="J744" s="4" t="n">
        <f aca="false">IFERROR(E744*I744/D744,"")</f>
        <v>585.045385099308</v>
      </c>
      <c r="K744" s="5" t="n">
        <f aca="false">IFERROR((J744-G744)/G744,"")</f>
        <v>7.75813663384001E-005</v>
      </c>
      <c r="L744" s="2" t="str">
        <f aca="false">IF(K744="","",IF(ABS(K744)&gt;0.05,"CHECK","OK"))</f>
        <v>OK</v>
      </c>
    </row>
    <row r="745" customFormat="false" ht="15" hidden="false" customHeight="false" outlineLevel="0" collapsed="false">
      <c r="A745" s="2" t="s">
        <v>58</v>
      </c>
      <c r="B745" s="2" t="n">
        <v>2006</v>
      </c>
      <c r="C745" s="2" t="s">
        <v>87</v>
      </c>
      <c r="D745" s="3" t="n">
        <v>536529</v>
      </c>
      <c r="E745" s="3" t="n">
        <v>290503</v>
      </c>
      <c r="F745" s="2" t="s">
        <v>14</v>
      </c>
      <c r="G745" s="3" t="n">
        <v>541</v>
      </c>
      <c r="H745" s="2" t="s">
        <v>15</v>
      </c>
      <c r="I745" s="2" t="n">
        <v>1000</v>
      </c>
      <c r="J745" s="4" t="n">
        <f aca="false">IFERROR(E745*I745/D745,"")</f>
        <v>541.44883128405</v>
      </c>
      <c r="K745" s="5" t="n">
        <f aca="false">IFERROR((J745-G745)/G745,"")</f>
        <v>0.000829632687707767</v>
      </c>
      <c r="L745" s="2" t="str">
        <f aca="false">IF(K745="","",IF(ABS(K745)&gt;0.05,"CHECK","OK"))</f>
        <v>OK</v>
      </c>
    </row>
    <row r="746" customFormat="false" ht="15" hidden="false" customHeight="false" outlineLevel="0" collapsed="false">
      <c r="A746" s="2" t="s">
        <v>59</v>
      </c>
      <c r="B746" s="2" t="n">
        <v>2007</v>
      </c>
      <c r="C746" s="2" t="s">
        <v>86</v>
      </c>
      <c r="D746" s="3" t="n">
        <v>48448</v>
      </c>
      <c r="E746" s="3" t="n">
        <v>21339</v>
      </c>
      <c r="F746" s="2" t="s">
        <v>14</v>
      </c>
      <c r="G746" s="3" t="n">
        <v>440</v>
      </c>
      <c r="H746" s="2" t="s">
        <v>15</v>
      </c>
      <c r="I746" s="2" t="n">
        <v>1000</v>
      </c>
      <c r="J746" s="4" t="n">
        <f aca="false">IFERROR(E746*I746/D746,"")</f>
        <v>440.451618229855</v>
      </c>
      <c r="K746" s="5" t="n">
        <f aca="false">IFERROR((J746-G746)/G746,"")</f>
        <v>0.00102640506785163</v>
      </c>
      <c r="L746" s="2" t="str">
        <f aca="false">IF(K746="","",IF(ABS(K746)&gt;0.05,"CHECK","OK"))</f>
        <v>OK</v>
      </c>
    </row>
    <row r="747" customFormat="false" ht="15" hidden="false" customHeight="false" outlineLevel="0" collapsed="false">
      <c r="A747" s="2" t="s">
        <v>59</v>
      </c>
      <c r="B747" s="2" t="n">
        <v>2007</v>
      </c>
      <c r="C747" s="2" t="s">
        <v>87</v>
      </c>
      <c r="D747" s="3" t="n">
        <v>609552</v>
      </c>
      <c r="E747" s="3" t="n">
        <v>184924</v>
      </c>
      <c r="F747" s="2" t="s">
        <v>14</v>
      </c>
      <c r="G747" s="3" t="n">
        <v>303</v>
      </c>
      <c r="H747" s="2" t="s">
        <v>15</v>
      </c>
      <c r="I747" s="2" t="n">
        <v>1000</v>
      </c>
      <c r="J747" s="4" t="n">
        <f aca="false">IFERROR(E747*I747/D747,"")</f>
        <v>303.376906318083</v>
      </c>
      <c r="K747" s="5" t="n">
        <f aca="false">IFERROR((J747-G747)/G747,"")</f>
        <v>0.00124391524119728</v>
      </c>
      <c r="L747" s="2" t="str">
        <f aca="false">IF(K747="","",IF(ABS(K747)&gt;0.05,"CHECK","OK"))</f>
        <v>OK</v>
      </c>
    </row>
    <row r="748" customFormat="false" ht="15" hidden="false" customHeight="false" outlineLevel="0" collapsed="false">
      <c r="A748" s="2" t="s">
        <v>60</v>
      </c>
      <c r="B748" s="2" t="n">
        <v>2008</v>
      </c>
      <c r="C748" s="2" t="s">
        <v>86</v>
      </c>
      <c r="D748" s="3" t="n">
        <v>44749</v>
      </c>
      <c r="E748" s="3" t="n">
        <v>21052</v>
      </c>
      <c r="F748" s="2" t="s">
        <v>14</v>
      </c>
      <c r="G748" s="3" t="n">
        <v>470</v>
      </c>
      <c r="H748" s="2" t="s">
        <v>15</v>
      </c>
      <c r="I748" s="2" t="n">
        <v>1000</v>
      </c>
      <c r="J748" s="4" t="n">
        <f aca="false">IFERROR(E748*I748/D748,"")</f>
        <v>470.446266955686</v>
      </c>
      <c r="K748" s="5" t="n">
        <f aca="false">IFERROR((J748-G748)/G748,"")</f>
        <v>0.000949504161034374</v>
      </c>
      <c r="L748" s="2" t="str">
        <f aca="false">IF(K748="","",IF(ABS(K748)&gt;0.05,"CHECK","OK"))</f>
        <v>OK</v>
      </c>
    </row>
    <row r="749" customFormat="false" ht="15" hidden="false" customHeight="false" outlineLevel="0" collapsed="false">
      <c r="A749" s="2" t="s">
        <v>60</v>
      </c>
      <c r="B749" s="2" t="n">
        <v>2008</v>
      </c>
      <c r="C749" s="2" t="s">
        <v>87</v>
      </c>
      <c r="D749" s="3" t="n">
        <v>535859</v>
      </c>
      <c r="E749" s="3" t="n">
        <v>167370</v>
      </c>
      <c r="F749" s="2" t="s">
        <v>14</v>
      </c>
      <c r="G749" s="3" t="n">
        <v>312</v>
      </c>
      <c r="H749" s="2" t="s">
        <v>15</v>
      </c>
      <c r="I749" s="2" t="n">
        <v>1000</v>
      </c>
      <c r="J749" s="4" t="n">
        <f aca="false">IFERROR(E749*I749/D749,"")</f>
        <v>312.339626655519</v>
      </c>
      <c r="K749" s="5" t="n">
        <f aca="false">IFERROR((J749-G749)/G749,"")</f>
        <v>0.00108854697281876</v>
      </c>
      <c r="L749" s="2" t="str">
        <f aca="false">IF(K749="","",IF(ABS(K749)&gt;0.05,"CHECK","OK"))</f>
        <v>OK</v>
      </c>
    </row>
    <row r="750" customFormat="false" ht="15" hidden="false" customHeight="false" outlineLevel="0" collapsed="false">
      <c r="A750" s="2" t="s">
        <v>61</v>
      </c>
      <c r="B750" s="2" t="n">
        <v>2009</v>
      </c>
      <c r="C750" s="2" t="s">
        <v>86</v>
      </c>
      <c r="D750" s="3" t="n">
        <v>47231</v>
      </c>
      <c r="E750" s="3" t="n">
        <v>21816</v>
      </c>
      <c r="F750" s="2" t="s">
        <v>14</v>
      </c>
      <c r="G750" s="3" t="n">
        <v>462</v>
      </c>
      <c r="H750" s="2" t="s">
        <v>15</v>
      </c>
      <c r="I750" s="2" t="n">
        <v>1000</v>
      </c>
      <c r="J750" s="4" t="n">
        <f aca="false">IFERROR(E750*I750/D750,"")</f>
        <v>461.900023289788</v>
      </c>
      <c r="K750" s="5" t="n">
        <f aca="false">IFERROR((J750-G750)/G750,"")</f>
        <v>-0.000216399805652675</v>
      </c>
      <c r="L750" s="2" t="str">
        <f aca="false">IF(K750="","",IF(ABS(K750)&gt;0.05,"CHECK","OK"))</f>
        <v>OK</v>
      </c>
    </row>
    <row r="751" customFormat="false" ht="15" hidden="false" customHeight="false" outlineLevel="0" collapsed="false">
      <c r="A751" s="2" t="s">
        <v>61</v>
      </c>
      <c r="B751" s="2" t="n">
        <v>2009</v>
      </c>
      <c r="C751" s="2" t="s">
        <v>87</v>
      </c>
      <c r="D751" s="3" t="n">
        <v>535819</v>
      </c>
      <c r="E751" s="3" t="n">
        <v>204369</v>
      </c>
      <c r="F751" s="2" t="s">
        <v>14</v>
      </c>
      <c r="G751" s="3" t="n">
        <v>381</v>
      </c>
      <c r="H751" s="2" t="s">
        <v>15</v>
      </c>
      <c r="I751" s="2" t="n">
        <v>1000</v>
      </c>
      <c r="J751" s="4" t="n">
        <f aca="false">IFERROR(E751*I751/D751,"")</f>
        <v>381.414246228671</v>
      </c>
      <c r="K751" s="5" t="n">
        <f aca="false">IFERROR((J751-G751)/G751,"")</f>
        <v>0.00108726044270471</v>
      </c>
      <c r="L751" s="2" t="str">
        <f aca="false">IF(K751="","",IF(ABS(K751)&gt;0.05,"CHECK","OK"))</f>
        <v>OK</v>
      </c>
    </row>
    <row r="752" customFormat="false" ht="15" hidden="false" customHeight="false" outlineLevel="0" collapsed="false">
      <c r="A752" s="2" t="s">
        <v>62</v>
      </c>
      <c r="B752" s="2" t="n">
        <v>2010</v>
      </c>
      <c r="C752" s="2" t="s">
        <v>86</v>
      </c>
      <c r="D752" s="3" t="n">
        <v>47320</v>
      </c>
      <c r="E752" s="3" t="n">
        <v>21729</v>
      </c>
      <c r="F752" s="2" t="s">
        <v>14</v>
      </c>
      <c r="G752" s="3" t="n">
        <v>459</v>
      </c>
      <c r="H752" s="2" t="s">
        <v>15</v>
      </c>
      <c r="I752" s="2" t="n">
        <v>1000</v>
      </c>
      <c r="J752" s="4" t="n">
        <f aca="false">IFERROR(E752*I752/D752,"")</f>
        <v>459.192730346577</v>
      </c>
      <c r="K752" s="5" t="n">
        <f aca="false">IFERROR((J752-G752)/G752,"")</f>
        <v>0.000419891822606808</v>
      </c>
      <c r="L752" s="2" t="str">
        <f aca="false">IF(K752="","",IF(ABS(K752)&gt;0.05,"CHECK","OK"))</f>
        <v>OK</v>
      </c>
    </row>
    <row r="753" customFormat="false" ht="15" hidden="false" customHeight="false" outlineLevel="0" collapsed="false">
      <c r="A753" s="2" t="s">
        <v>62</v>
      </c>
      <c r="B753" s="2" t="n">
        <v>2010</v>
      </c>
      <c r="C753" s="2" t="s">
        <v>87</v>
      </c>
      <c r="D753" s="3" t="n">
        <v>636735</v>
      </c>
      <c r="E753" s="3" t="n">
        <v>245190</v>
      </c>
      <c r="F753" s="2" t="s">
        <v>14</v>
      </c>
      <c r="G753" s="3" t="n">
        <v>385</v>
      </c>
      <c r="H753" s="2" t="s">
        <v>15</v>
      </c>
      <c r="I753" s="2" t="n">
        <v>1000</v>
      </c>
      <c r="J753" s="4" t="n">
        <f aca="false">IFERROR(E753*I753/D753,"")</f>
        <v>385.073853329878</v>
      </c>
      <c r="K753" s="5" t="n">
        <f aca="false">IFERROR((J753-G753)/G753,"")</f>
        <v>0.000191826830852479</v>
      </c>
      <c r="L753" s="2" t="str">
        <f aca="false">IF(K753="","",IF(ABS(K753)&gt;0.05,"CHECK","OK"))</f>
        <v>OK</v>
      </c>
    </row>
    <row r="754" customFormat="false" ht="15" hidden="false" customHeight="false" outlineLevel="0" collapsed="false">
      <c r="A754" s="2" t="s">
        <v>63</v>
      </c>
      <c r="B754" s="2" t="n">
        <v>2011</v>
      </c>
      <c r="C754" s="2" t="s">
        <v>86</v>
      </c>
      <c r="D754" s="3" t="n">
        <v>68969</v>
      </c>
      <c r="E754" s="3" t="n">
        <v>31782</v>
      </c>
      <c r="F754" s="2" t="s">
        <v>14</v>
      </c>
      <c r="G754" s="3" t="n">
        <v>539</v>
      </c>
      <c r="H754" s="2" t="s">
        <v>15</v>
      </c>
      <c r="I754" s="2" t="n">
        <v>1000</v>
      </c>
      <c r="J754" s="4" t="n">
        <f aca="false">IFERROR(E754*I754/D754,"")</f>
        <v>460.815728805695</v>
      </c>
      <c r="K754" s="5" t="n">
        <f aca="false">IFERROR((J754-G754)/G754,"")</f>
        <v>-0.14505430648294</v>
      </c>
      <c r="L754" s="2" t="str">
        <f aca="false">IF(K754="","",IF(ABS(K754)&gt;0.05,"CHECK","OK"))</f>
        <v>CHECK</v>
      </c>
    </row>
    <row r="755" customFormat="false" ht="15" hidden="false" customHeight="false" outlineLevel="0" collapsed="false">
      <c r="A755" s="2" t="s">
        <v>63</v>
      </c>
      <c r="B755" s="2" t="n">
        <v>2011</v>
      </c>
      <c r="C755" s="2" t="s">
        <v>87</v>
      </c>
      <c r="D755" s="3" t="n">
        <v>666921</v>
      </c>
      <c r="E755" s="3" t="n">
        <v>354460</v>
      </c>
      <c r="F755" s="2" t="s">
        <v>14</v>
      </c>
      <c r="G755" s="3" t="n">
        <v>531</v>
      </c>
      <c r="H755" s="2" t="s">
        <v>15</v>
      </c>
      <c r="I755" s="2" t="n">
        <v>1000</v>
      </c>
      <c r="J755" s="4" t="n">
        <f aca="false">IFERROR(E755*I755/D755,"")</f>
        <v>531.487237618848</v>
      </c>
      <c r="K755" s="5" t="n">
        <f aca="false">IFERROR((J755-G755)/G755,"")</f>
        <v>0.000917584969582749</v>
      </c>
      <c r="L755" s="2" t="str">
        <f aca="false">IF(K755="","",IF(ABS(K755)&gt;0.05,"CHECK","OK"))</f>
        <v>OK</v>
      </c>
    </row>
    <row r="756" customFormat="false" ht="15" hidden="false" customHeight="false" outlineLevel="0" collapsed="false">
      <c r="A756" s="2" t="s">
        <v>64</v>
      </c>
      <c r="B756" s="2" t="n">
        <v>2012</v>
      </c>
      <c r="C756" s="2" t="s">
        <v>86</v>
      </c>
      <c r="D756" s="3" t="n">
        <v>63505</v>
      </c>
      <c r="E756" s="3" t="n">
        <v>25455</v>
      </c>
      <c r="F756" s="2" t="s">
        <v>14</v>
      </c>
      <c r="G756" s="3" t="n">
        <v>401</v>
      </c>
      <c r="H756" s="2" t="s">
        <v>15</v>
      </c>
      <c r="I756" s="2" t="n">
        <v>1000</v>
      </c>
      <c r="J756" s="4" t="n">
        <f aca="false">IFERROR(E756*I756/D756,"")</f>
        <v>400.834579954334</v>
      </c>
      <c r="K756" s="5" t="n">
        <f aca="false">IFERROR((J756-G756)/G756,"")</f>
        <v>-0.000412518817121477</v>
      </c>
      <c r="L756" s="2" t="str">
        <f aca="false">IF(K756="","",IF(ABS(K756)&gt;0.05,"CHECK","OK"))</f>
        <v>OK</v>
      </c>
    </row>
    <row r="757" customFormat="false" ht="15" hidden="false" customHeight="false" outlineLevel="0" collapsed="false">
      <c r="A757" s="2" t="s">
        <v>64</v>
      </c>
      <c r="B757" s="2" t="n">
        <v>2012</v>
      </c>
      <c r="C757" s="2" t="s">
        <v>87</v>
      </c>
      <c r="D757" s="3" t="n">
        <v>512650</v>
      </c>
      <c r="E757" s="3" t="n">
        <v>212574</v>
      </c>
      <c r="F757" s="2" t="s">
        <v>14</v>
      </c>
      <c r="G757" s="3" t="n">
        <v>415</v>
      </c>
      <c r="H757" s="2" t="s">
        <v>15</v>
      </c>
      <c r="I757" s="2" t="n">
        <v>1000</v>
      </c>
      <c r="J757" s="4" t="n">
        <f aca="false">IFERROR(E757*I757/D757,"")</f>
        <v>414.657173510192</v>
      </c>
      <c r="K757" s="5" t="n">
        <f aca="false">IFERROR((J757-G757)/G757,"")</f>
        <v>-0.000826087927247861</v>
      </c>
      <c r="L757" s="2" t="str">
        <f aca="false">IF(K757="","",IF(ABS(K757)&gt;0.05,"CHECK","OK"))</f>
        <v>OK</v>
      </c>
    </row>
    <row r="758" customFormat="false" ht="15" hidden="false" customHeight="false" outlineLevel="0" collapsed="false">
      <c r="A758" s="2" t="s">
        <v>65</v>
      </c>
      <c r="B758" s="2" t="n">
        <v>2013</v>
      </c>
      <c r="C758" s="2" t="s">
        <v>86</v>
      </c>
      <c r="D758" s="3" t="n">
        <v>88733</v>
      </c>
      <c r="E758" s="3" t="n">
        <v>56869</v>
      </c>
      <c r="F758" s="2" t="s">
        <v>14</v>
      </c>
      <c r="G758" s="3" t="n">
        <v>641</v>
      </c>
      <c r="H758" s="2" t="s">
        <v>15</v>
      </c>
      <c r="I758" s="2" t="n">
        <v>1000</v>
      </c>
      <c r="J758" s="4" t="n">
        <f aca="false">IFERROR(E758*I758/D758,"")</f>
        <v>640.900228776216</v>
      </c>
      <c r="K758" s="5" t="n">
        <f aca="false">IFERROR((J758-G758)/G758,"")</f>
        <v>-0.000155649335075983</v>
      </c>
      <c r="L758" s="2" t="str">
        <f aca="false">IF(K758="","",IF(ABS(K758)&gt;0.05,"CHECK","OK"))</f>
        <v>OK</v>
      </c>
    </row>
    <row r="759" customFormat="false" ht="15" hidden="false" customHeight="false" outlineLevel="0" collapsed="false">
      <c r="A759" s="2" t="s">
        <v>65</v>
      </c>
      <c r="B759" s="2" t="n">
        <v>2013</v>
      </c>
      <c r="C759" s="2" t="s">
        <v>87</v>
      </c>
      <c r="D759" s="3" t="n">
        <v>815756</v>
      </c>
      <c r="E759" s="3" t="n">
        <v>613799</v>
      </c>
      <c r="F759" s="2" t="s">
        <v>14</v>
      </c>
      <c r="G759" s="3" t="n">
        <v>752</v>
      </c>
      <c r="H759" s="2" t="s">
        <v>15</v>
      </c>
      <c r="I759" s="2" t="n">
        <v>1000</v>
      </c>
      <c r="J759" s="4" t="n">
        <f aca="false">IFERROR(E759*I759/D759,"")</f>
        <v>752.429648081044</v>
      </c>
      <c r="K759" s="5" t="n">
        <f aca="false">IFERROR((J759-G759)/G759,"")</f>
        <v>0.000571340533303012</v>
      </c>
      <c r="L759" s="2" t="str">
        <f aca="false">IF(K759="","",IF(ABS(K759)&gt;0.05,"CHECK","OK"))</f>
        <v>OK</v>
      </c>
    </row>
    <row r="760" customFormat="false" ht="15" hidden="false" customHeight="false" outlineLevel="0" collapsed="false">
      <c r="A760" s="2" t="s">
        <v>66</v>
      </c>
      <c r="B760" s="2" t="n">
        <v>2014</v>
      </c>
      <c r="C760" s="2" t="s">
        <v>86</v>
      </c>
      <c r="D760" s="3" t="n">
        <v>92062</v>
      </c>
      <c r="E760" s="3" t="n">
        <v>68304</v>
      </c>
      <c r="F760" s="2" t="s">
        <v>14</v>
      </c>
      <c r="G760" s="3" t="n">
        <v>742</v>
      </c>
      <c r="H760" s="2" t="s">
        <v>15</v>
      </c>
      <c r="I760" s="2" t="n">
        <v>1000</v>
      </c>
      <c r="J760" s="4" t="n">
        <f aca="false">IFERROR(E760*I760/D760,"")</f>
        <v>741.934783080967</v>
      </c>
      <c r="K760" s="5" t="n">
        <f aca="false">IFERROR((J760-G760)/G760,"")</f>
        <v>-8.78934218771937E-005</v>
      </c>
      <c r="L760" s="2" t="str">
        <f aca="false">IF(K760="","",IF(ABS(K760)&gt;0.05,"CHECK","OK"))</f>
        <v>OK</v>
      </c>
    </row>
    <row r="761" customFormat="false" ht="15" hidden="false" customHeight="false" outlineLevel="0" collapsed="false">
      <c r="A761" s="2" t="s">
        <v>66</v>
      </c>
      <c r="B761" s="2" t="n">
        <v>2014</v>
      </c>
      <c r="C761" s="2" t="s">
        <v>87</v>
      </c>
      <c r="D761" s="3" t="n">
        <v>883862</v>
      </c>
      <c r="E761" s="3" t="n">
        <v>766964</v>
      </c>
      <c r="F761" s="2" t="s">
        <v>14</v>
      </c>
      <c r="G761" s="3" t="n">
        <v>868</v>
      </c>
      <c r="H761" s="2" t="s">
        <v>15</v>
      </c>
      <c r="I761" s="2" t="n">
        <v>1000</v>
      </c>
      <c r="J761" s="4" t="n">
        <f aca="false">IFERROR(E761*I761/D761,"")</f>
        <v>867.741796796332</v>
      </c>
      <c r="K761" s="5" t="n">
        <f aca="false">IFERROR((J761-G761)/G761,"")</f>
        <v>-0.000297469128649266</v>
      </c>
      <c r="L761" s="2" t="str">
        <f aca="false">IF(K761="","",IF(ABS(K761)&gt;0.05,"CHECK","OK"))</f>
        <v>OK</v>
      </c>
    </row>
    <row r="762" customFormat="false" ht="15" hidden="false" customHeight="false" outlineLevel="0" collapsed="false">
      <c r="A762" s="2" t="s">
        <v>67</v>
      </c>
      <c r="B762" s="2" t="n">
        <v>2015</v>
      </c>
      <c r="C762" s="2" t="s">
        <v>86</v>
      </c>
      <c r="D762" s="3" t="n">
        <v>75903</v>
      </c>
      <c r="E762" s="3" t="n">
        <v>44614</v>
      </c>
      <c r="F762" s="2" t="s">
        <v>14</v>
      </c>
      <c r="G762" s="3" t="n">
        <v>588</v>
      </c>
      <c r="H762" s="2" t="s">
        <v>15</v>
      </c>
      <c r="I762" s="2" t="n">
        <v>1000</v>
      </c>
      <c r="J762" s="4" t="n">
        <f aca="false">IFERROR(E762*I762/D762,"")</f>
        <v>587.776504222495</v>
      </c>
      <c r="K762" s="5" t="n">
        <f aca="false">IFERROR((J762-G762)/G762,"")</f>
        <v>-0.000380094859703216</v>
      </c>
      <c r="L762" s="2" t="str">
        <f aca="false">IF(K762="","",IF(ABS(K762)&gt;0.05,"CHECK","OK"))</f>
        <v>OK</v>
      </c>
    </row>
    <row r="763" customFormat="false" ht="15" hidden="false" customHeight="false" outlineLevel="0" collapsed="false">
      <c r="A763" s="2" t="s">
        <v>67</v>
      </c>
      <c r="B763" s="2" t="n">
        <v>2015</v>
      </c>
      <c r="C763" s="2" t="s">
        <v>87</v>
      </c>
      <c r="D763" s="3" t="n">
        <v>887650</v>
      </c>
      <c r="E763" s="3" t="n">
        <v>584969</v>
      </c>
      <c r="F763" s="2" t="s">
        <v>14</v>
      </c>
      <c r="G763" s="3" t="n">
        <v>659</v>
      </c>
      <c r="H763" s="2" t="s">
        <v>15</v>
      </c>
      <c r="I763" s="2" t="n">
        <v>1000</v>
      </c>
      <c r="J763" s="4" t="n">
        <f aca="false">IFERROR(E763*I763/D763,"")</f>
        <v>659.008618261702</v>
      </c>
      <c r="K763" s="5" t="n">
        <f aca="false">IFERROR((J763-G763)/G763,"")</f>
        <v>1.30777871051311E-005</v>
      </c>
      <c r="L763" s="2" t="str">
        <f aca="false">IF(K763="","",IF(ABS(K763)&gt;0.05,"CHECK","OK"))</f>
        <v>OK</v>
      </c>
    </row>
    <row r="764" customFormat="false" ht="15" hidden="false" customHeight="false" outlineLevel="0" collapsed="false">
      <c r="A764" s="2" t="s">
        <v>68</v>
      </c>
      <c r="B764" s="2" t="n">
        <v>2016</v>
      </c>
      <c r="C764" s="2" t="s">
        <v>86</v>
      </c>
      <c r="D764" s="3" t="n">
        <v>38602</v>
      </c>
      <c r="E764" s="3" t="n">
        <v>12361</v>
      </c>
      <c r="F764" s="2" t="s">
        <v>14</v>
      </c>
      <c r="G764" s="3" t="n">
        <v>320</v>
      </c>
      <c r="H764" s="2" t="s">
        <v>15</v>
      </c>
      <c r="I764" s="2" t="n">
        <v>1000</v>
      </c>
      <c r="J764" s="4" t="n">
        <f aca="false">IFERROR(E764*I764/D764,"")</f>
        <v>320.216569089684</v>
      </c>
      <c r="K764" s="5" t="n">
        <f aca="false">IFERROR((J764-G764)/G764,"")</f>
        <v>0.000676778405263967</v>
      </c>
      <c r="L764" s="2" t="str">
        <f aca="false">IF(K764="","",IF(ABS(K764)&gt;0.05,"CHECK","OK"))</f>
        <v>OK</v>
      </c>
    </row>
    <row r="765" customFormat="false" ht="15" hidden="false" customHeight="false" outlineLevel="0" collapsed="false">
      <c r="A765" s="2" t="s">
        <v>68</v>
      </c>
      <c r="B765" s="2" t="n">
        <v>2016</v>
      </c>
      <c r="C765" s="2" t="s">
        <v>87</v>
      </c>
      <c r="D765" s="3" t="n">
        <v>785086</v>
      </c>
      <c r="E765" s="3" t="n">
        <v>337707</v>
      </c>
      <c r="F765" s="2" t="s">
        <v>14</v>
      </c>
      <c r="G765" s="3" t="n">
        <v>430</v>
      </c>
      <c r="H765" s="2" t="s">
        <v>15</v>
      </c>
      <c r="I765" s="2" t="n">
        <v>1000</v>
      </c>
      <c r="J765" s="4" t="n">
        <f aca="false">IFERROR(E765*I765/D765,"")</f>
        <v>430.152874971659</v>
      </c>
      <c r="K765" s="5" t="n">
        <f aca="false">IFERROR((J765-G765)/G765,"")</f>
        <v>0.000355523189905054</v>
      </c>
      <c r="L765" s="2" t="str">
        <f aca="false">IF(K765="","",IF(ABS(K765)&gt;0.05,"CHECK","OK"))</f>
        <v>OK</v>
      </c>
    </row>
    <row r="766" customFormat="false" ht="15" hidden="false" customHeight="false" outlineLevel="0" collapsed="false">
      <c r="A766" s="2" t="s">
        <v>69</v>
      </c>
      <c r="B766" s="2" t="n">
        <v>2017</v>
      </c>
      <c r="C766" s="2" t="s">
        <v>86</v>
      </c>
      <c r="D766" s="3" t="n">
        <v>62207</v>
      </c>
      <c r="E766" s="3" t="n">
        <v>48534</v>
      </c>
      <c r="F766" s="2" t="s">
        <v>14</v>
      </c>
      <c r="G766" s="3" t="n">
        <v>780</v>
      </c>
      <c r="H766" s="2" t="s">
        <v>15</v>
      </c>
      <c r="I766" s="2" t="n">
        <v>1000</v>
      </c>
      <c r="J766" s="4" t="n">
        <f aca="false">IFERROR(E766*I766/D766,"")</f>
        <v>780.201585030624</v>
      </c>
      <c r="K766" s="5" t="n">
        <f aca="false">IFERROR((J766-G766)/G766,"")</f>
        <v>0.000258442346953358</v>
      </c>
      <c r="L766" s="2" t="str">
        <f aca="false">IF(K766="","",IF(ABS(K766)&gt;0.05,"CHECK","OK"))</f>
        <v>OK</v>
      </c>
    </row>
    <row r="767" customFormat="false" ht="15" hidden="false" customHeight="false" outlineLevel="0" collapsed="false">
      <c r="A767" s="2" t="s">
        <v>69</v>
      </c>
      <c r="B767" s="2" t="n">
        <v>2017</v>
      </c>
      <c r="C767" s="2" t="s">
        <v>87</v>
      </c>
      <c r="D767" s="3" t="n">
        <v>824696</v>
      </c>
      <c r="E767" s="3" t="n">
        <v>556450</v>
      </c>
      <c r="F767" s="2" t="s">
        <v>14</v>
      </c>
      <c r="G767" s="3" t="n">
        <v>675</v>
      </c>
      <c r="H767" s="2" t="s">
        <v>15</v>
      </c>
      <c r="I767" s="2" t="n">
        <v>1000</v>
      </c>
      <c r="J767" s="4" t="n">
        <f aca="false">IFERROR(E767*I767/D767,"")</f>
        <v>674.733477548091</v>
      </c>
      <c r="K767" s="5" t="n">
        <f aca="false">IFERROR((J767-G767)/G767,"")</f>
        <v>-0.000394848076902976</v>
      </c>
      <c r="L767" s="2" t="str">
        <f aca="false">IF(K767="","",IF(ABS(K767)&gt;0.05,"CHECK","OK"))</f>
        <v>OK</v>
      </c>
    </row>
    <row r="768" customFormat="false" ht="15" hidden="false" customHeight="false" outlineLevel="0" collapsed="false">
      <c r="A768" s="2" t="s">
        <v>70</v>
      </c>
      <c r="B768" s="2" t="n">
        <v>2018</v>
      </c>
      <c r="C768" s="2" t="s">
        <v>86</v>
      </c>
      <c r="D768" s="3" t="n">
        <v>77453</v>
      </c>
      <c r="E768" s="3" t="n">
        <v>53530</v>
      </c>
      <c r="F768" s="2" t="s">
        <v>14</v>
      </c>
      <c r="G768" s="3" t="n">
        <v>691</v>
      </c>
      <c r="H768" s="2" t="s">
        <v>15</v>
      </c>
      <c r="I768" s="2" t="n">
        <v>1000</v>
      </c>
      <c r="J768" s="4" t="n">
        <f aca="false">IFERROR(E768*I768/D768,"")</f>
        <v>691.128813603088</v>
      </c>
      <c r="K768" s="5" t="n">
        <f aca="false">IFERROR((J768-G768)/G768,"")</f>
        <v>0.00018641621286304</v>
      </c>
      <c r="L768" s="2" t="str">
        <f aca="false">IF(K768="","",IF(ABS(K768)&gt;0.05,"CHECK","OK"))</f>
        <v>OK</v>
      </c>
    </row>
    <row r="769" customFormat="false" ht="15" hidden="false" customHeight="false" outlineLevel="0" collapsed="false">
      <c r="A769" s="2" t="s">
        <v>70</v>
      </c>
      <c r="B769" s="2" t="n">
        <v>2018</v>
      </c>
      <c r="C769" s="2" t="s">
        <v>87</v>
      </c>
      <c r="D769" s="3" t="n">
        <v>850562</v>
      </c>
      <c r="E769" s="3" t="n">
        <v>551036</v>
      </c>
      <c r="F769" s="2" t="s">
        <v>14</v>
      </c>
      <c r="G769" s="3" t="n">
        <v>648</v>
      </c>
      <c r="H769" s="2" t="s">
        <v>15</v>
      </c>
      <c r="I769" s="2" t="n">
        <v>1000</v>
      </c>
      <c r="J769" s="4" t="n">
        <f aca="false">IFERROR(E769*I769/D769,"")</f>
        <v>647.849304342306</v>
      </c>
      <c r="K769" s="5" t="n">
        <f aca="false">IFERROR((J769-G769)/G769,"")</f>
        <v>-0.000232555027306391</v>
      </c>
      <c r="L769" s="2" t="str">
        <f aca="false">IF(K769="","",IF(ABS(K769)&gt;0.05,"CHECK","OK"))</f>
        <v>OK</v>
      </c>
    </row>
    <row r="770" customFormat="false" ht="15" hidden="false" customHeight="false" outlineLevel="0" collapsed="false">
      <c r="A770" s="2" t="s">
        <v>71</v>
      </c>
      <c r="B770" s="2" t="n">
        <v>2019</v>
      </c>
      <c r="C770" s="2" t="s">
        <v>86</v>
      </c>
      <c r="D770" s="3" t="n">
        <v>79058</v>
      </c>
      <c r="E770" s="3" t="n">
        <v>61376</v>
      </c>
      <c r="F770" s="2" t="s">
        <v>14</v>
      </c>
      <c r="G770" s="3" t="n">
        <v>776</v>
      </c>
      <c r="H770" s="2" t="s">
        <v>15</v>
      </c>
      <c r="I770" s="2" t="n">
        <v>1000</v>
      </c>
      <c r="J770" s="4" t="n">
        <f aca="false">IFERROR(E770*I770/D770,"")</f>
        <v>776.341420223127</v>
      </c>
      <c r="K770" s="5" t="n">
        <f aca="false">IFERROR((J770-G770)/G770,"")</f>
        <v>0.000439974514339342</v>
      </c>
      <c r="L770" s="2" t="str">
        <f aca="false">IF(K770="","",IF(ABS(K770)&gt;0.05,"CHECK","OK"))</f>
        <v>OK</v>
      </c>
    </row>
    <row r="771" customFormat="false" ht="15" hidden="false" customHeight="false" outlineLevel="0" collapsed="false">
      <c r="A771" s="2" t="s">
        <v>71</v>
      </c>
      <c r="B771" s="2" t="n">
        <v>2019</v>
      </c>
      <c r="C771" s="2" t="s">
        <v>87</v>
      </c>
      <c r="D771" s="3" t="n">
        <v>823561</v>
      </c>
      <c r="E771" s="3" t="n">
        <v>605444</v>
      </c>
      <c r="F771" s="2" t="s">
        <v>14</v>
      </c>
      <c r="G771" s="3" t="n">
        <v>735</v>
      </c>
      <c r="H771" s="2" t="s">
        <v>15</v>
      </c>
      <c r="I771" s="2" t="n">
        <v>1000</v>
      </c>
      <c r="J771" s="4" t="n">
        <f aca="false">IFERROR(E771*I771/D771,"")</f>
        <v>735.15380160061</v>
      </c>
      <c r="K771" s="5" t="n">
        <f aca="false">IFERROR((J771-G771)/G771,"")</f>
        <v>0.000209253878380946</v>
      </c>
      <c r="L771" s="2" t="str">
        <f aca="false">IF(K771="","",IF(ABS(K771)&gt;0.05,"CHECK","OK"))</f>
        <v>OK</v>
      </c>
    </row>
    <row r="772" customFormat="false" ht="15" hidden="false" customHeight="false" outlineLevel="0" collapsed="false">
      <c r="A772" s="2" t="s">
        <v>72</v>
      </c>
      <c r="B772" s="2" t="n">
        <v>2020</v>
      </c>
      <c r="C772" s="2" t="s">
        <v>86</v>
      </c>
      <c r="D772" s="3" t="n">
        <v>75816</v>
      </c>
      <c r="E772" s="3" t="n">
        <v>56517</v>
      </c>
      <c r="F772" s="2" t="s">
        <v>14</v>
      </c>
      <c r="G772" s="3" t="n">
        <v>745</v>
      </c>
      <c r="H772" s="2" t="s">
        <v>15</v>
      </c>
      <c r="I772" s="2" t="n">
        <v>1000</v>
      </c>
      <c r="J772" s="4" t="n">
        <f aca="false">IFERROR(E772*I772/D772,"")</f>
        <v>745.449509338398</v>
      </c>
      <c r="K772" s="5" t="n">
        <f aca="false">IFERROR((J772-G772)/G772,"")</f>
        <v>0.000603368239460711</v>
      </c>
      <c r="L772" s="2" t="str">
        <f aca="false">IF(K772="","",IF(ABS(K772)&gt;0.05,"CHECK","OK"))</f>
        <v>OK</v>
      </c>
    </row>
    <row r="773" customFormat="false" ht="15" hidden="false" customHeight="false" outlineLevel="0" collapsed="false">
      <c r="A773" s="2" t="s">
        <v>72</v>
      </c>
      <c r="B773" s="2" t="n">
        <v>2020</v>
      </c>
      <c r="C773" s="2" t="s">
        <v>87</v>
      </c>
      <c r="D773" s="3" t="n">
        <v>802926</v>
      </c>
      <c r="E773" s="3" t="n">
        <v>472575</v>
      </c>
      <c r="F773" s="2" t="s">
        <v>14</v>
      </c>
      <c r="G773" s="3" t="n">
        <v>589</v>
      </c>
      <c r="H773" s="2" t="s">
        <v>15</v>
      </c>
      <c r="I773" s="2" t="n">
        <v>1000</v>
      </c>
      <c r="J773" s="4" t="n">
        <f aca="false">IFERROR(E773*I773/D773,"")</f>
        <v>588.566069600436</v>
      </c>
      <c r="K773" s="5" t="n">
        <f aca="false">IFERROR((J773-G773)/G773,"")</f>
        <v>-0.00073672393813848</v>
      </c>
      <c r="L773" s="2" t="str">
        <f aca="false">IF(K773="","",IF(ABS(K773)&gt;0.05,"CHECK","OK"))</f>
        <v>OK</v>
      </c>
    </row>
    <row r="774" customFormat="false" ht="15" hidden="false" customHeight="false" outlineLevel="0" collapsed="false">
      <c r="A774" s="2" t="s">
        <v>73</v>
      </c>
      <c r="B774" s="2" t="n">
        <v>2021</v>
      </c>
      <c r="C774" s="2" t="s">
        <v>86</v>
      </c>
      <c r="D774" s="3" t="n">
        <v>65551</v>
      </c>
      <c r="E774" s="3" t="n">
        <v>44747</v>
      </c>
      <c r="F774" s="2" t="s">
        <v>14</v>
      </c>
      <c r="G774" s="3" t="n">
        <v>683</v>
      </c>
      <c r="H774" s="2" t="s">
        <v>15</v>
      </c>
      <c r="I774" s="2" t="n">
        <v>1000</v>
      </c>
      <c r="J774" s="4" t="n">
        <f aca="false">IFERROR(E774*I774/D774,"")</f>
        <v>682.628792848317</v>
      </c>
      <c r="K774" s="5" t="n">
        <f aca="false">IFERROR((J774-G774)/G774,"")</f>
        <v>-0.000543495097633079</v>
      </c>
      <c r="L774" s="2" t="str">
        <f aca="false">IF(K774="","",IF(ABS(K774)&gt;0.05,"CHECK","OK"))</f>
        <v>OK</v>
      </c>
    </row>
    <row r="775" customFormat="false" ht="15" hidden="false" customHeight="false" outlineLevel="0" collapsed="false">
      <c r="A775" s="2" t="s">
        <v>73</v>
      </c>
      <c r="B775" s="2" t="n">
        <v>2021</v>
      </c>
      <c r="C775" s="2" t="s">
        <v>87</v>
      </c>
      <c r="D775" s="3" t="n">
        <v>802100</v>
      </c>
      <c r="E775" s="3" t="n">
        <v>498886</v>
      </c>
      <c r="F775" s="2" t="s">
        <v>14</v>
      </c>
      <c r="G775" s="3" t="n">
        <v>622</v>
      </c>
      <c r="H775" s="2" t="s">
        <v>15</v>
      </c>
      <c r="I775" s="2" t="n">
        <v>1000</v>
      </c>
      <c r="J775" s="4" t="n">
        <f aca="false">IFERROR(E775*I775/D775,"")</f>
        <v>621.974816107717</v>
      </c>
      <c r="K775" s="5" t="n">
        <f aca="false">IFERROR((J775-G775)/G775,"")</f>
        <v>-4.04885728017876E-005</v>
      </c>
      <c r="L775" s="2" t="str">
        <f aca="false">IF(K775="","",IF(ABS(K775)&gt;0.05,"CHECK","OK"))</f>
        <v>OK</v>
      </c>
    </row>
    <row r="776" customFormat="false" ht="15" hidden="false" customHeight="false" outlineLevel="0" collapsed="false">
      <c r="A776" s="2" t="s">
        <v>74</v>
      </c>
      <c r="B776" s="2" t="n">
        <v>2022</v>
      </c>
      <c r="C776" s="2" t="s">
        <v>86</v>
      </c>
      <c r="D776" s="3" t="n">
        <v>69771</v>
      </c>
      <c r="E776" s="3" t="n">
        <v>53848</v>
      </c>
      <c r="F776" s="2" t="s">
        <v>14</v>
      </c>
      <c r="G776" s="3" t="n">
        <v>772</v>
      </c>
      <c r="H776" s="2" t="s">
        <v>15</v>
      </c>
      <c r="I776" s="2" t="n">
        <v>1000</v>
      </c>
      <c r="J776" s="4" t="n">
        <f aca="false">IFERROR(E776*I776/D776,"")</f>
        <v>771.781972452738</v>
      </c>
      <c r="K776" s="5" t="n">
        <f aca="false">IFERROR((J776-G776)/G776,"")</f>
        <v>-0.000282419102670631</v>
      </c>
      <c r="L776" s="2" t="str">
        <f aca="false">IF(K776="","",IF(ABS(K776)&gt;0.05,"CHECK","OK"))</f>
        <v>OK</v>
      </c>
    </row>
    <row r="777" customFormat="false" ht="15" hidden="false" customHeight="false" outlineLevel="0" collapsed="false">
      <c r="A777" s="2" t="s">
        <v>74</v>
      </c>
      <c r="B777" s="2" t="n">
        <v>2022</v>
      </c>
      <c r="C777" s="2" t="s">
        <v>87</v>
      </c>
      <c r="D777" s="3" t="n">
        <v>791119</v>
      </c>
      <c r="E777" s="3" t="n">
        <v>503161</v>
      </c>
      <c r="F777" s="2" t="s">
        <v>14</v>
      </c>
      <c r="G777" s="3" t="n">
        <v>636</v>
      </c>
      <c r="H777" s="2" t="s">
        <v>15</v>
      </c>
      <c r="I777" s="2" t="n">
        <v>1000</v>
      </c>
      <c r="J777" s="4" t="n">
        <f aca="false">IFERROR(E777*I777/D777,"")</f>
        <v>636.01177572527</v>
      </c>
      <c r="K777" s="5" t="n">
        <f aca="false">IFERROR((J777-G777)/G777,"")</f>
        <v>1.85152913052307E-005</v>
      </c>
      <c r="L777" s="2" t="str">
        <f aca="false">IF(K777="","",IF(ABS(K777)&gt;0.05,"CHECK","OK"))</f>
        <v>OK</v>
      </c>
    </row>
    <row r="778" customFormat="false" ht="15" hidden="false" customHeight="false" outlineLevel="0" collapsed="false">
      <c r="A778" s="2" t="s">
        <v>75</v>
      </c>
      <c r="B778" s="2" t="n">
        <v>2023</v>
      </c>
      <c r="C778" s="2" t="s">
        <v>86</v>
      </c>
      <c r="D778" s="3" t="n">
        <v>74727</v>
      </c>
      <c r="E778" s="3" t="n">
        <v>49350</v>
      </c>
      <c r="F778" s="2" t="s">
        <v>14</v>
      </c>
      <c r="G778" s="3" t="n">
        <v>660</v>
      </c>
      <c r="H778" s="2" t="s">
        <v>15</v>
      </c>
      <c r="I778" s="2" t="n">
        <v>1000</v>
      </c>
      <c r="J778" s="4" t="n">
        <f aca="false">IFERROR(E778*I778/D778,"")</f>
        <v>660.403870087117</v>
      </c>
      <c r="K778" s="5" t="n">
        <f aca="false">IFERROR((J778-G778)/G778,"")</f>
        <v>0.000611924374419804</v>
      </c>
      <c r="L778" s="2" t="str">
        <f aca="false">IF(K778="","",IF(ABS(K778)&gt;0.05,"CHECK","OK"))</f>
        <v>OK</v>
      </c>
    </row>
    <row r="779" customFormat="false" ht="15" hidden="false" customHeight="false" outlineLevel="0" collapsed="false">
      <c r="A779" s="2" t="s">
        <v>75</v>
      </c>
      <c r="B779" s="2" t="n">
        <v>2023</v>
      </c>
      <c r="C779" s="2" t="s">
        <v>87</v>
      </c>
      <c r="D779" s="3" t="n">
        <v>717021</v>
      </c>
      <c r="E779" s="3" t="n">
        <v>386152</v>
      </c>
      <c r="F779" s="2" t="s">
        <v>14</v>
      </c>
      <c r="G779" s="3" t="n">
        <v>538</v>
      </c>
      <c r="H779" s="2" t="s">
        <v>15</v>
      </c>
      <c r="I779" s="2" t="n">
        <v>1000</v>
      </c>
      <c r="J779" s="4" t="n">
        <f aca="false">IFERROR(E779*I779/D779,"")</f>
        <v>538.550474811756</v>
      </c>
      <c r="K779" s="5" t="n">
        <f aca="false">IFERROR((J779-G779)/G779,"")</f>
        <v>0.00102318738244584</v>
      </c>
      <c r="L779" s="2" t="str">
        <f aca="false">IF(K779="","",IF(ABS(K779)&gt;0.05,"CHECK","OK"))</f>
        <v>OK</v>
      </c>
    </row>
    <row r="780" customFormat="false" ht="15" hidden="false" customHeight="false" outlineLevel="0" collapsed="false">
      <c r="A780" s="2" t="s">
        <v>76</v>
      </c>
      <c r="B780" s="2" t="n">
        <v>2024</v>
      </c>
      <c r="C780" s="2" t="s">
        <v>86</v>
      </c>
      <c r="D780" s="3" t="n">
        <v>77071</v>
      </c>
      <c r="E780" s="3" t="n">
        <v>54518</v>
      </c>
      <c r="F780" s="2" t="s">
        <v>14</v>
      </c>
      <c r="G780" s="3" t="n">
        <v>707</v>
      </c>
      <c r="H780" s="2" t="s">
        <v>15</v>
      </c>
      <c r="I780" s="2" t="n">
        <v>1000</v>
      </c>
      <c r="J780" s="4" t="n">
        <f aca="false">IFERROR(E780*I780/D780,"")</f>
        <v>707.373720335794</v>
      </c>
      <c r="K780" s="5" t="n">
        <f aca="false">IFERROR((J780-G780)/G780,"")</f>
        <v>0.00052860019207107</v>
      </c>
      <c r="L780" s="2" t="str">
        <f aca="false">IF(K780="","",IF(ABS(K780)&gt;0.05,"CHECK","OK"))</f>
        <v>OK</v>
      </c>
    </row>
    <row r="781" customFormat="false" ht="15" hidden="false" customHeight="false" outlineLevel="0" collapsed="false">
      <c r="A781" s="2" t="s">
        <v>76</v>
      </c>
      <c r="B781" s="2" t="n">
        <v>2024</v>
      </c>
      <c r="C781" s="2" t="s">
        <v>87</v>
      </c>
      <c r="D781" s="3" t="n">
        <v>730871</v>
      </c>
      <c r="E781" s="3" t="n">
        <v>382503</v>
      </c>
      <c r="F781" s="2" t="s">
        <v>14</v>
      </c>
      <c r="G781" s="3" t="n">
        <v>523</v>
      </c>
      <c r="H781" s="2" t="s">
        <v>15</v>
      </c>
      <c r="I781" s="2" t="n">
        <v>1000</v>
      </c>
      <c r="J781" s="4" t="n">
        <f aca="false">IFERROR(E781*I781/D781,"")</f>
        <v>523.35227420434</v>
      </c>
      <c r="K781" s="5" t="n">
        <f aca="false">IFERROR((J781-G781)/G781,"")</f>
        <v>0.000673564444244318</v>
      </c>
      <c r="L781" s="2" t="str">
        <f aca="false">IF(K781="","",IF(ABS(K781)&gt;0.05,"CHECK","OK"))</f>
        <v>OK</v>
      </c>
    </row>
    <row r="782" customFormat="false" ht="15" hidden="false" customHeight="false" outlineLevel="0" collapsed="false">
      <c r="A782" s="2" t="s">
        <v>12</v>
      </c>
      <c r="B782" s="2" t="n">
        <v>1965</v>
      </c>
      <c r="C782" s="2" t="s">
        <v>88</v>
      </c>
      <c r="D782" s="3" t="n">
        <v>954942</v>
      </c>
      <c r="E782" s="3" t="n">
        <v>822880</v>
      </c>
      <c r="F782" s="2" t="s">
        <v>14</v>
      </c>
      <c r="G782" s="3" t="n">
        <v>862</v>
      </c>
      <c r="H782" s="2" t="s">
        <v>15</v>
      </c>
      <c r="I782" s="2" t="n">
        <v>1000</v>
      </c>
      <c r="J782" s="4" t="n">
        <f aca="false">IFERROR(E782*I782/D782,"")</f>
        <v>861.706784286376</v>
      </c>
      <c r="K782" s="5" t="n">
        <f aca="false">IFERROR((J782-G782)/G782,"")</f>
        <v>-0.000340157440399625</v>
      </c>
      <c r="L782" s="2" t="str">
        <f aca="false">IF(K782="","",IF(ABS(K782)&gt;0.05,"CHECK","OK"))</f>
        <v>OK</v>
      </c>
    </row>
    <row r="783" customFormat="false" ht="15" hidden="false" customHeight="false" outlineLevel="0" collapsed="false">
      <c r="A783" s="2" t="s">
        <v>12</v>
      </c>
      <c r="B783" s="2" t="n">
        <v>1965</v>
      </c>
      <c r="C783" s="2" t="s">
        <v>89</v>
      </c>
      <c r="D783" s="3" t="n">
        <v>118024</v>
      </c>
      <c r="E783" s="3" t="n">
        <v>38170</v>
      </c>
      <c r="F783" s="2" t="s">
        <v>14</v>
      </c>
      <c r="G783" s="3" t="n">
        <v>327</v>
      </c>
      <c r="H783" s="2" t="s">
        <v>15</v>
      </c>
      <c r="I783" s="2" t="n">
        <v>1000</v>
      </c>
      <c r="J783" s="4" t="n">
        <f aca="false">IFERROR(E783*I783/D783,"")</f>
        <v>323.408798210533</v>
      </c>
      <c r="K783" s="5" t="n">
        <f aca="false">IFERROR((J783-G783)/G783,"")</f>
        <v>-0.0109822684693166</v>
      </c>
      <c r="L783" s="2" t="str">
        <f aca="false">IF(K783="","",IF(ABS(K783)&gt;0.05,"CHECK","OK"))</f>
        <v>OK</v>
      </c>
    </row>
    <row r="784" customFormat="false" ht="15" hidden="false" customHeight="false" outlineLevel="0" collapsed="false">
      <c r="A784" s="2" t="s">
        <v>18</v>
      </c>
      <c r="B784" s="2" t="n">
        <v>1966</v>
      </c>
      <c r="C784" s="2" t="s">
        <v>88</v>
      </c>
      <c r="D784" s="3" t="n">
        <v>993830</v>
      </c>
      <c r="E784" s="3" t="n">
        <v>843590</v>
      </c>
      <c r="F784" s="2" t="s">
        <v>14</v>
      </c>
      <c r="G784" s="3" t="n">
        <v>849</v>
      </c>
      <c r="H784" s="2" t="s">
        <v>15</v>
      </c>
      <c r="I784" s="2" t="n">
        <v>1000</v>
      </c>
      <c r="J784" s="4" t="n">
        <f aca="false">IFERROR(E784*I784/D784,"")</f>
        <v>848.827264220239</v>
      </c>
      <c r="K784" s="5" t="n">
        <f aca="false">IFERROR((J784-G784)/G784,"")</f>
        <v>-0.000203457926691483</v>
      </c>
      <c r="L784" s="2" t="str">
        <f aca="false">IF(K784="","",IF(ABS(K784)&gt;0.05,"CHECK","OK"))</f>
        <v>OK</v>
      </c>
    </row>
    <row r="785" customFormat="false" ht="15" hidden="false" customHeight="false" outlineLevel="0" collapsed="false">
      <c r="A785" s="2" t="s">
        <v>18</v>
      </c>
      <c r="B785" s="2" t="n">
        <v>1966</v>
      </c>
      <c r="C785" s="2" t="s">
        <v>89</v>
      </c>
      <c r="D785" s="3" t="n">
        <v>137857</v>
      </c>
      <c r="E785" s="3" t="n">
        <v>43890</v>
      </c>
      <c r="F785" s="2" t="s">
        <v>14</v>
      </c>
      <c r="G785" s="3" t="n">
        <v>318</v>
      </c>
      <c r="H785" s="2" t="s">
        <v>15</v>
      </c>
      <c r="I785" s="2" t="n">
        <v>1000</v>
      </c>
      <c r="J785" s="4" t="n">
        <f aca="false">IFERROR(E785*I785/D785,"")</f>
        <v>318.373386915427</v>
      </c>
      <c r="K785" s="5" t="n">
        <f aca="false">IFERROR((J785-G785)/G785,"")</f>
        <v>0.00117417269002158</v>
      </c>
      <c r="L785" s="2" t="str">
        <f aca="false">IF(K785="","",IF(ABS(K785)&gt;0.05,"CHECK","OK"))</f>
        <v>OK</v>
      </c>
    </row>
    <row r="786" customFormat="false" ht="15" hidden="false" customHeight="false" outlineLevel="0" collapsed="false">
      <c r="A786" s="2" t="s">
        <v>19</v>
      </c>
      <c r="B786" s="2" t="n">
        <v>1967</v>
      </c>
      <c r="C786" s="2" t="s">
        <v>88</v>
      </c>
      <c r="D786" s="3" t="n">
        <v>1066173</v>
      </c>
      <c r="E786" s="3" t="n">
        <v>898280</v>
      </c>
      <c r="F786" s="2" t="s">
        <v>14</v>
      </c>
      <c r="G786" s="3" t="n">
        <v>843</v>
      </c>
      <c r="H786" s="2" t="s">
        <v>15</v>
      </c>
      <c r="I786" s="2" t="n">
        <v>1000</v>
      </c>
      <c r="J786" s="4" t="n">
        <f aca="false">IFERROR(E786*I786/D786,"")</f>
        <v>842.527432227228</v>
      </c>
      <c r="K786" s="5" t="n">
        <f aca="false">IFERROR((J786-G786)/G786,"")</f>
        <v>-0.000560578615388283</v>
      </c>
      <c r="L786" s="2" t="str">
        <f aca="false">IF(K786="","",IF(ABS(K786)&gt;0.05,"CHECK","OK"))</f>
        <v>OK</v>
      </c>
    </row>
    <row r="787" customFormat="false" ht="15" hidden="false" customHeight="false" outlineLevel="0" collapsed="false">
      <c r="A787" s="2" t="s">
        <v>19</v>
      </c>
      <c r="B787" s="2" t="n">
        <v>1967</v>
      </c>
      <c r="C787" s="2" t="s">
        <v>89</v>
      </c>
      <c r="D787" s="3" t="n">
        <v>114979</v>
      </c>
      <c r="E787" s="3" t="n">
        <v>34200</v>
      </c>
      <c r="F787" s="2" t="s">
        <v>14</v>
      </c>
      <c r="G787" s="3" t="n">
        <v>295</v>
      </c>
      <c r="H787" s="2" t="s">
        <v>15</v>
      </c>
      <c r="I787" s="2" t="n">
        <v>1000</v>
      </c>
      <c r="J787" s="4" t="n">
        <f aca="false">IFERROR(E787*I787/D787,"")</f>
        <v>297.445620504614</v>
      </c>
      <c r="K787" s="5" t="n">
        <f aca="false">IFERROR((J787-G787)/G787,"")</f>
        <v>0.00829023899869114</v>
      </c>
      <c r="L787" s="2" t="str">
        <f aca="false">IF(K787="","",IF(ABS(K787)&gt;0.05,"CHECK","OK"))</f>
        <v>OK</v>
      </c>
    </row>
    <row r="788" customFormat="false" ht="15" hidden="false" customHeight="false" outlineLevel="0" collapsed="false">
      <c r="A788" s="2" t="s">
        <v>20</v>
      </c>
      <c r="B788" s="2" t="n">
        <v>1968</v>
      </c>
      <c r="C788" s="2" t="s">
        <v>88</v>
      </c>
      <c r="D788" s="3" t="n">
        <v>930536</v>
      </c>
      <c r="E788" s="3" t="n">
        <v>797930</v>
      </c>
      <c r="F788" s="2" t="s">
        <v>14</v>
      </c>
      <c r="G788" s="3" t="n">
        <v>857</v>
      </c>
      <c r="H788" s="2" t="s">
        <v>15</v>
      </c>
      <c r="I788" s="2" t="n">
        <v>1000</v>
      </c>
      <c r="J788" s="4" t="n">
        <f aca="false">IFERROR(E788*I788/D788,"")</f>
        <v>857.495035119544</v>
      </c>
      <c r="K788" s="5" t="n">
        <f aca="false">IFERROR((J788-G788)/G788,"")</f>
        <v>0.000577637245675628</v>
      </c>
      <c r="L788" s="2" t="str">
        <f aca="false">IF(K788="","",IF(ABS(K788)&gt;0.05,"CHECK","OK"))</f>
        <v>OK</v>
      </c>
    </row>
    <row r="789" customFormat="false" ht="15" hidden="false" customHeight="false" outlineLevel="0" collapsed="false">
      <c r="A789" s="2" t="s">
        <v>20</v>
      </c>
      <c r="B789" s="2" t="n">
        <v>1968</v>
      </c>
      <c r="C789" s="2" t="s">
        <v>89</v>
      </c>
      <c r="D789" s="3" t="n">
        <v>108391</v>
      </c>
      <c r="E789" s="3" t="n">
        <v>33770</v>
      </c>
      <c r="F789" s="2" t="s">
        <v>14</v>
      </c>
      <c r="G789" s="3" t="n">
        <v>2066</v>
      </c>
      <c r="H789" s="2" t="s">
        <v>15</v>
      </c>
      <c r="I789" s="2" t="n">
        <v>1000</v>
      </c>
      <c r="J789" s="4" t="n">
        <f aca="false">IFERROR(E789*I789/D789,"")</f>
        <v>311.557232611564</v>
      </c>
      <c r="K789" s="5" t="n">
        <f aca="false">IFERROR((J789-G789)/G789,"")</f>
        <v>-0.849197854495855</v>
      </c>
      <c r="L789" s="2" t="str">
        <f aca="false">IF(K789="","",IF(ABS(K789)&gt;0.05,"CHECK","OK"))</f>
        <v>CHECK</v>
      </c>
    </row>
    <row r="790" customFormat="false" ht="15" hidden="false" customHeight="false" outlineLevel="0" collapsed="false">
      <c r="A790" s="2" t="s">
        <v>21</v>
      </c>
      <c r="B790" s="2" t="n">
        <v>1969</v>
      </c>
      <c r="C790" s="2" t="s">
        <v>88</v>
      </c>
      <c r="D790" s="3" t="n">
        <v>895947</v>
      </c>
      <c r="E790" s="3" t="n">
        <v>803990</v>
      </c>
      <c r="F790" s="2" t="s">
        <v>14</v>
      </c>
      <c r="G790" s="3" t="n">
        <v>897</v>
      </c>
      <c r="H790" s="2" t="s">
        <v>15</v>
      </c>
      <c r="I790" s="2" t="n">
        <v>1000</v>
      </c>
      <c r="J790" s="4" t="n">
        <f aca="false">IFERROR(E790*I790/D790,"")</f>
        <v>897.363348501641</v>
      </c>
      <c r="K790" s="5" t="n">
        <f aca="false">IFERROR((J790-G790)/G790,"")</f>
        <v>0.000405070793357108</v>
      </c>
      <c r="L790" s="2" t="str">
        <f aca="false">IF(K790="","",IF(ABS(K790)&gt;0.05,"CHECK","OK"))</f>
        <v>OK</v>
      </c>
    </row>
    <row r="791" customFormat="false" ht="15" hidden="false" customHeight="false" outlineLevel="0" collapsed="false">
      <c r="A791" s="2" t="s">
        <v>21</v>
      </c>
      <c r="B791" s="2" t="n">
        <v>1969</v>
      </c>
      <c r="C791" s="2" t="s">
        <v>89</v>
      </c>
      <c r="D791" s="3" t="n">
        <v>121156</v>
      </c>
      <c r="E791" s="3" t="n">
        <v>38770</v>
      </c>
      <c r="F791" s="2" t="s">
        <v>14</v>
      </c>
      <c r="G791" s="3" t="n">
        <v>1721</v>
      </c>
      <c r="H791" s="2" t="s">
        <v>15</v>
      </c>
      <c r="I791" s="2" t="n">
        <v>1000</v>
      </c>
      <c r="J791" s="4" t="n">
        <f aca="false">IFERROR(E791*I791/D791,"")</f>
        <v>320.000660305722</v>
      </c>
      <c r="K791" s="5" t="n">
        <f aca="false">IFERROR((J791-G791)/G791,"")</f>
        <v>-0.81406120842201</v>
      </c>
      <c r="L791" s="2" t="str">
        <f aca="false">IF(K791="","",IF(ABS(K791)&gt;0.05,"CHECK","OK"))</f>
        <v>CHECK</v>
      </c>
    </row>
    <row r="792" customFormat="false" ht="15" hidden="false" customHeight="false" outlineLevel="0" collapsed="false">
      <c r="A792" s="2" t="s">
        <v>22</v>
      </c>
      <c r="B792" s="2" t="n">
        <v>1970</v>
      </c>
      <c r="C792" s="2" t="s">
        <v>88</v>
      </c>
      <c r="D792" s="3" t="n">
        <v>985106</v>
      </c>
      <c r="E792" s="3" t="n">
        <v>988710</v>
      </c>
      <c r="F792" s="2" t="s">
        <v>14</v>
      </c>
      <c r="G792" s="3" t="n">
        <v>1004</v>
      </c>
      <c r="H792" s="2" t="s">
        <v>15</v>
      </c>
      <c r="I792" s="2" t="n">
        <v>1000</v>
      </c>
      <c r="J792" s="4" t="n">
        <f aca="false">IFERROR(E792*I792/D792,"")</f>
        <v>1003.65848954326</v>
      </c>
      <c r="K792" s="5" t="n">
        <f aca="false">IFERROR((J792-G792)/G792,"")</f>
        <v>-0.000340149857313499</v>
      </c>
      <c r="L792" s="2" t="str">
        <f aca="false">IF(K792="","",IF(ABS(K792)&gt;0.05,"CHECK","OK"))</f>
        <v>OK</v>
      </c>
    </row>
    <row r="793" customFormat="false" ht="15" hidden="false" customHeight="false" outlineLevel="0" collapsed="false">
      <c r="A793" s="2" t="s">
        <v>22</v>
      </c>
      <c r="B793" s="2" t="n">
        <v>1970</v>
      </c>
      <c r="C793" s="2" t="s">
        <v>89</v>
      </c>
      <c r="D793" s="3" t="n">
        <v>132704</v>
      </c>
      <c r="E793" s="3" t="n">
        <v>42790</v>
      </c>
      <c r="F793" s="2" t="s">
        <v>14</v>
      </c>
      <c r="G793" s="3" t="n">
        <v>323</v>
      </c>
      <c r="H793" s="2" t="s">
        <v>15</v>
      </c>
      <c r="I793" s="2" t="n">
        <v>1000</v>
      </c>
      <c r="J793" s="4" t="n">
        <f aca="false">IFERROR(E793*I793/D793,"")</f>
        <v>322.446949602122</v>
      </c>
      <c r="K793" s="5" t="n">
        <f aca="false">IFERROR((J793-G793)/G793,"")</f>
        <v>-0.0017122303339876</v>
      </c>
      <c r="L793" s="2" t="str">
        <f aca="false">IF(K793="","",IF(ABS(K793)&gt;0.05,"CHECK","OK"))</f>
        <v>OK</v>
      </c>
    </row>
    <row r="794" customFormat="false" ht="15" hidden="false" customHeight="false" outlineLevel="0" collapsed="false">
      <c r="A794" s="2" t="s">
        <v>23</v>
      </c>
      <c r="B794" s="2" t="n">
        <v>1971</v>
      </c>
      <c r="C794" s="2" t="s">
        <v>88</v>
      </c>
      <c r="D794" s="3" t="n">
        <v>1118545</v>
      </c>
      <c r="E794" s="3" t="n">
        <v>1253120</v>
      </c>
      <c r="F794" s="2" t="s">
        <v>14</v>
      </c>
      <c r="G794" s="3" t="n">
        <v>1120</v>
      </c>
      <c r="H794" s="2" t="s">
        <v>15</v>
      </c>
      <c r="I794" s="2" t="n">
        <v>1000</v>
      </c>
      <c r="J794" s="4" t="n">
        <f aca="false">IFERROR(E794*I794/D794,"")</f>
        <v>1120.31254889164</v>
      </c>
      <c r="K794" s="5" t="n">
        <f aca="false">IFERROR((J794-G794)/G794,"")</f>
        <v>0.000279061510393319</v>
      </c>
      <c r="L794" s="2" t="str">
        <f aca="false">IF(K794="","",IF(ABS(K794)&gt;0.05,"CHECK","OK"))</f>
        <v>OK</v>
      </c>
    </row>
    <row r="795" customFormat="false" ht="15" hidden="false" customHeight="false" outlineLevel="0" collapsed="false">
      <c r="A795" s="2" t="s">
        <v>23</v>
      </c>
      <c r="B795" s="2" t="n">
        <v>1971</v>
      </c>
      <c r="C795" s="2" t="s">
        <v>89</v>
      </c>
      <c r="D795" s="3" t="n">
        <v>133375</v>
      </c>
      <c r="E795" s="3" t="n">
        <v>42890</v>
      </c>
      <c r="F795" s="2" t="s">
        <v>14</v>
      </c>
      <c r="G795" s="3" t="n">
        <v>2829</v>
      </c>
      <c r="H795" s="2" t="s">
        <v>15</v>
      </c>
      <c r="I795" s="2" t="n">
        <v>1000</v>
      </c>
      <c r="J795" s="4" t="n">
        <f aca="false">IFERROR(E795*I795/D795,"")</f>
        <v>321.574507966261</v>
      </c>
      <c r="K795" s="5" t="n">
        <f aca="false">IFERROR((J795-G795)/G795,"")</f>
        <v>-0.886329265476755</v>
      </c>
      <c r="L795" s="2" t="str">
        <f aca="false">IF(K795="","",IF(ABS(K795)&gt;0.05,"CHECK","OK"))</f>
        <v>CHECK</v>
      </c>
    </row>
    <row r="796" customFormat="false" ht="15" hidden="false" customHeight="false" outlineLevel="0" collapsed="false">
      <c r="A796" s="2" t="s">
        <v>24</v>
      </c>
      <c r="B796" s="2" t="n">
        <v>1972</v>
      </c>
      <c r="C796" s="2" t="s">
        <v>88</v>
      </c>
      <c r="D796" s="3" t="n">
        <v>1072306</v>
      </c>
      <c r="E796" s="3" t="n">
        <v>1035010</v>
      </c>
      <c r="F796" s="2" t="s">
        <v>14</v>
      </c>
      <c r="G796" s="3" t="n">
        <v>965</v>
      </c>
      <c r="H796" s="2" t="s">
        <v>15</v>
      </c>
      <c r="I796" s="2" t="n">
        <v>1000</v>
      </c>
      <c r="J796" s="4" t="n">
        <f aca="false">IFERROR(E796*I796/D796,"")</f>
        <v>965.218883415741</v>
      </c>
      <c r="K796" s="5" t="n">
        <f aca="false">IFERROR((J796-G796)/G796,"")</f>
        <v>0.000226822192478137</v>
      </c>
      <c r="L796" s="2" t="str">
        <f aca="false">IF(K796="","",IF(ABS(K796)&gt;0.05,"CHECK","OK"))</f>
        <v>OK</v>
      </c>
    </row>
    <row r="797" customFormat="false" ht="15" hidden="false" customHeight="false" outlineLevel="0" collapsed="false">
      <c r="A797" s="2" t="s">
        <v>24</v>
      </c>
      <c r="B797" s="2" t="n">
        <v>1972</v>
      </c>
      <c r="C797" s="2" t="s">
        <v>89</v>
      </c>
      <c r="D797" s="3" t="n">
        <v>117548</v>
      </c>
      <c r="E797" s="3" t="n">
        <v>37160</v>
      </c>
      <c r="F797" s="2" t="s">
        <v>14</v>
      </c>
      <c r="G797" s="3" t="n">
        <v>1141</v>
      </c>
      <c r="H797" s="2" t="s">
        <v>15</v>
      </c>
      <c r="I797" s="2" t="n">
        <v>1000</v>
      </c>
      <c r="J797" s="4" t="n">
        <f aca="false">IFERROR(E797*I797/D797,"")</f>
        <v>316.12617824208</v>
      </c>
      <c r="K797" s="5" t="n">
        <f aca="false">IFERROR((J797-G797)/G797,"")</f>
        <v>-0.722939370515268</v>
      </c>
      <c r="L797" s="2" t="str">
        <f aca="false">IF(K797="","",IF(ABS(K797)&gt;0.05,"CHECK","OK"))</f>
        <v>CHECK</v>
      </c>
    </row>
    <row r="798" customFormat="false" ht="15" hidden="false" customHeight="false" outlineLevel="0" collapsed="false">
      <c r="A798" s="2" t="s">
        <v>25</v>
      </c>
      <c r="B798" s="2" t="n">
        <v>1973</v>
      </c>
      <c r="C798" s="2" t="s">
        <v>88</v>
      </c>
      <c r="D798" s="3" t="n">
        <v>1135988</v>
      </c>
      <c r="E798" s="3" t="n">
        <v>1199040</v>
      </c>
      <c r="F798" s="2" t="s">
        <v>14</v>
      </c>
      <c r="G798" s="3" t="n">
        <v>1056</v>
      </c>
      <c r="H798" s="2" t="s">
        <v>15</v>
      </c>
      <c r="I798" s="2" t="n">
        <v>1000</v>
      </c>
      <c r="J798" s="4" t="n">
        <f aca="false">IFERROR(E798*I798/D798,"")</f>
        <v>1055.50410743775</v>
      </c>
      <c r="K798" s="5" t="n">
        <f aca="false">IFERROR((J798-G798)/G798,"")</f>
        <v>-0.000469595229399095</v>
      </c>
      <c r="L798" s="2" t="str">
        <f aca="false">IF(K798="","",IF(ABS(K798)&gt;0.05,"CHECK","OK"))</f>
        <v>OK</v>
      </c>
    </row>
    <row r="799" customFormat="false" ht="15" hidden="false" customHeight="false" outlineLevel="0" collapsed="false">
      <c r="A799" s="2" t="s">
        <v>25</v>
      </c>
      <c r="B799" s="2" t="n">
        <v>1973</v>
      </c>
      <c r="C799" s="2" t="s">
        <v>89</v>
      </c>
      <c r="D799" s="3" t="n">
        <v>130748</v>
      </c>
      <c r="E799" s="3" t="n">
        <v>30860</v>
      </c>
      <c r="F799" s="2" t="s">
        <v>14</v>
      </c>
      <c r="G799" s="3" t="n">
        <v>239</v>
      </c>
      <c r="H799" s="2" t="s">
        <v>15</v>
      </c>
      <c r="I799" s="2" t="n">
        <v>1000</v>
      </c>
      <c r="J799" s="4" t="n">
        <f aca="false">IFERROR(E799*I799/D799,"")</f>
        <v>236.026554899501</v>
      </c>
      <c r="K799" s="5" t="n">
        <f aca="false">IFERROR((J799-G799)/G799,"")</f>
        <v>-0.0124411928891158</v>
      </c>
      <c r="L799" s="2" t="str">
        <f aca="false">IF(K799="","",IF(ABS(K799)&gt;0.05,"CHECK","OK"))</f>
        <v>OK</v>
      </c>
    </row>
    <row r="800" customFormat="false" ht="15" hidden="false" customHeight="false" outlineLevel="0" collapsed="false">
      <c r="A800" s="2" t="s">
        <v>26</v>
      </c>
      <c r="B800" s="2" t="n">
        <v>1974</v>
      </c>
      <c r="C800" s="2" t="s">
        <v>88</v>
      </c>
      <c r="D800" s="3" t="n">
        <v>988181</v>
      </c>
      <c r="E800" s="3" t="n">
        <v>813510</v>
      </c>
      <c r="F800" s="2" t="s">
        <v>14</v>
      </c>
      <c r="G800" s="3" t="n">
        <v>823</v>
      </c>
      <c r="H800" s="2" t="s">
        <v>15</v>
      </c>
      <c r="I800" s="2" t="n">
        <v>1000</v>
      </c>
      <c r="J800" s="4" t="n">
        <f aca="false">IFERROR(E800*I800/D800,"")</f>
        <v>823.239872047732</v>
      </c>
      <c r="K800" s="5" t="n">
        <f aca="false">IFERROR((J800-G800)/G800,"")</f>
        <v>0.00029146056832575</v>
      </c>
      <c r="L800" s="2" t="str">
        <f aca="false">IF(K800="","",IF(ABS(K800)&gt;0.05,"CHECK","OK"))</f>
        <v>OK</v>
      </c>
    </row>
    <row r="801" customFormat="false" ht="15" hidden="false" customHeight="false" outlineLevel="0" collapsed="false">
      <c r="A801" s="2" t="s">
        <v>26</v>
      </c>
      <c r="B801" s="2" t="n">
        <v>1974</v>
      </c>
      <c r="C801" s="2" t="s">
        <v>89</v>
      </c>
      <c r="D801" s="3" t="n">
        <v>89922</v>
      </c>
      <c r="E801" s="3" t="n">
        <v>22510</v>
      </c>
      <c r="F801" s="2" t="s">
        <v>14</v>
      </c>
      <c r="G801" s="3" t="n">
        <v>1558</v>
      </c>
      <c r="H801" s="2" t="s">
        <v>15</v>
      </c>
      <c r="I801" s="2" t="n">
        <v>1000</v>
      </c>
      <c r="J801" s="4" t="n">
        <f aca="false">IFERROR(E801*I801/D801,"")</f>
        <v>250.328062098263</v>
      </c>
      <c r="K801" s="5" t="n">
        <f aca="false">IFERROR((J801-G801)/G801,"")</f>
        <v>-0.839327302889433</v>
      </c>
      <c r="L801" s="2" t="str">
        <f aca="false">IF(K801="","",IF(ABS(K801)&gt;0.05,"CHECK","OK"))</f>
        <v>CHECK</v>
      </c>
    </row>
    <row r="802" customFormat="false" ht="15" hidden="false" customHeight="false" outlineLevel="0" collapsed="false">
      <c r="A802" s="2" t="s">
        <v>27</v>
      </c>
      <c r="B802" s="2" t="n">
        <v>1975</v>
      </c>
      <c r="C802" s="2" t="s">
        <v>88</v>
      </c>
      <c r="D802" s="3" t="n">
        <v>934705</v>
      </c>
      <c r="E802" s="3" t="n">
        <v>1053410</v>
      </c>
      <c r="F802" s="2" t="s">
        <v>14</v>
      </c>
      <c r="G802" s="3" t="n">
        <v>1127</v>
      </c>
      <c r="H802" s="2" t="s">
        <v>15</v>
      </c>
      <c r="I802" s="2" t="n">
        <v>1000</v>
      </c>
      <c r="J802" s="4" t="n">
        <f aca="false">IFERROR(E802*I802/D802,"")</f>
        <v>1126.99728791437</v>
      </c>
      <c r="K802" s="5" t="n">
        <f aca="false">IFERROR((J802-G802)/G802,"")</f>
        <v>-2.40646462413607E-006</v>
      </c>
      <c r="L802" s="2" t="str">
        <f aca="false">IF(K802="","",IF(ABS(K802)&gt;0.05,"CHECK","OK"))</f>
        <v>OK</v>
      </c>
    </row>
    <row r="803" customFormat="false" ht="15" hidden="false" customHeight="false" outlineLevel="0" collapsed="false">
      <c r="A803" s="2" t="s">
        <v>27</v>
      </c>
      <c r="B803" s="2" t="n">
        <v>1975</v>
      </c>
      <c r="C803" s="2" t="s">
        <v>89</v>
      </c>
      <c r="D803" s="3" t="n">
        <v>97525</v>
      </c>
      <c r="E803" s="3" t="n">
        <v>30860</v>
      </c>
      <c r="F803" s="2" t="s">
        <v>14</v>
      </c>
      <c r="G803" s="3" t="n">
        <v>1685</v>
      </c>
      <c r="H803" s="2" t="s">
        <v>15</v>
      </c>
      <c r="I803" s="2" t="n">
        <v>1000</v>
      </c>
      <c r="J803" s="4" t="n">
        <f aca="false">IFERROR(E803*I803/D803,"")</f>
        <v>316.431684183543</v>
      </c>
      <c r="K803" s="5" t="n">
        <f aca="false">IFERROR((J803-G803)/G803,"")</f>
        <v>-0.812206715618076</v>
      </c>
      <c r="L803" s="2" t="str">
        <f aca="false">IF(K803="","",IF(ABS(K803)&gt;0.05,"CHECK","OK"))</f>
        <v>CHECK</v>
      </c>
    </row>
    <row r="804" customFormat="false" ht="15" hidden="false" customHeight="false" outlineLevel="0" collapsed="false">
      <c r="A804" s="2" t="s">
        <v>28</v>
      </c>
      <c r="B804" s="2" t="n">
        <v>1976</v>
      </c>
      <c r="C804" s="2" t="s">
        <v>88</v>
      </c>
      <c r="D804" s="3" t="n">
        <v>889968</v>
      </c>
      <c r="E804" s="3" t="n">
        <v>785040</v>
      </c>
      <c r="F804" s="2" t="s">
        <v>14</v>
      </c>
      <c r="G804" s="3" t="n">
        <v>882</v>
      </c>
      <c r="H804" s="2" t="s">
        <v>15</v>
      </c>
      <c r="I804" s="2" t="n">
        <v>1000</v>
      </c>
      <c r="J804" s="4" t="n">
        <f aca="false">IFERROR(E804*I804/D804,"")</f>
        <v>882.099131654172</v>
      </c>
      <c r="K804" s="5" t="n">
        <f aca="false">IFERROR((J804-G804)/G804,"")</f>
        <v>0.000112394165727728</v>
      </c>
      <c r="L804" s="2" t="str">
        <f aca="false">IF(K804="","",IF(ABS(K804)&gt;0.05,"CHECK","OK"))</f>
        <v>OK</v>
      </c>
    </row>
    <row r="805" customFormat="false" ht="15" hidden="false" customHeight="false" outlineLevel="0" collapsed="false">
      <c r="A805" s="2" t="s">
        <v>28</v>
      </c>
      <c r="B805" s="2" t="n">
        <v>1976</v>
      </c>
      <c r="C805" s="2" t="s">
        <v>89</v>
      </c>
      <c r="D805" s="3" t="n">
        <v>112262</v>
      </c>
      <c r="E805" s="3" t="n">
        <v>38730</v>
      </c>
      <c r="F805" s="2" t="s">
        <v>14</v>
      </c>
      <c r="G805" s="3" t="n">
        <v>1657</v>
      </c>
      <c r="H805" s="2" t="s">
        <v>15</v>
      </c>
      <c r="I805" s="2" t="n">
        <v>1000</v>
      </c>
      <c r="J805" s="4" t="n">
        <f aca="false">IFERROR(E805*I805/D805,"")</f>
        <v>344.996525983859</v>
      </c>
      <c r="K805" s="5" t="n">
        <f aca="false">IFERROR((J805-G805)/G805,"")</f>
        <v>-0.791794492465987</v>
      </c>
      <c r="L805" s="2" t="str">
        <f aca="false">IF(K805="","",IF(ABS(K805)&gt;0.05,"CHECK","OK"))</f>
        <v>CHECK</v>
      </c>
    </row>
    <row r="806" customFormat="false" ht="15" hidden="false" customHeight="false" outlineLevel="0" collapsed="false">
      <c r="A806" s="2" t="s">
        <v>29</v>
      </c>
      <c r="B806" s="2" t="n">
        <v>1977</v>
      </c>
      <c r="C806" s="2" t="s">
        <v>88</v>
      </c>
      <c r="D806" s="3" t="n">
        <v>925966</v>
      </c>
      <c r="E806" s="3" t="n">
        <v>1149630</v>
      </c>
      <c r="F806" s="2" t="s">
        <v>14</v>
      </c>
      <c r="G806" s="3" t="n">
        <v>1242</v>
      </c>
      <c r="H806" s="2" t="s">
        <v>15</v>
      </c>
      <c r="I806" s="2" t="n">
        <v>1000</v>
      </c>
      <c r="J806" s="4" t="n">
        <f aca="false">IFERROR(E806*I806/D806,"")</f>
        <v>1241.5466658603</v>
      </c>
      <c r="K806" s="5" t="n">
        <f aca="false">IFERROR((J806-G806)/G806,"")</f>
        <v>-0.000365003333090521</v>
      </c>
      <c r="L806" s="2" t="str">
        <f aca="false">IF(K806="","",IF(ABS(K806)&gt;0.05,"CHECK","OK"))</f>
        <v>OK</v>
      </c>
    </row>
    <row r="807" customFormat="false" ht="15" hidden="false" customHeight="false" outlineLevel="0" collapsed="false">
      <c r="A807" s="2" t="s">
        <v>29</v>
      </c>
      <c r="B807" s="2" t="n">
        <v>1977</v>
      </c>
      <c r="C807" s="2" t="s">
        <v>89</v>
      </c>
      <c r="D807" s="3" t="n">
        <v>162025</v>
      </c>
      <c r="E807" s="3" t="n">
        <v>54540</v>
      </c>
      <c r="F807" s="2" t="s">
        <v>14</v>
      </c>
      <c r="G807" s="3" t="n">
        <v>2473</v>
      </c>
      <c r="H807" s="2" t="s">
        <v>15</v>
      </c>
      <c r="I807" s="2" t="n">
        <v>1000</v>
      </c>
      <c r="J807" s="4" t="n">
        <f aca="false">IFERROR(E807*I807/D807,"")</f>
        <v>336.614719950625</v>
      </c>
      <c r="K807" s="5" t="n">
        <f aca="false">IFERROR((J807-G807)/G807,"")</f>
        <v>-0.863884059866306</v>
      </c>
      <c r="L807" s="2" t="str">
        <f aca="false">IF(K807="","",IF(ABS(K807)&gt;0.05,"CHECK","OK"))</f>
        <v>CHECK</v>
      </c>
    </row>
    <row r="808" customFormat="false" ht="15" hidden="false" customHeight="false" outlineLevel="0" collapsed="false">
      <c r="A808" s="2" t="s">
        <v>30</v>
      </c>
      <c r="B808" s="2" t="n">
        <v>1978</v>
      </c>
      <c r="C808" s="2" t="s">
        <v>88</v>
      </c>
      <c r="D808" s="3" t="n">
        <v>983344</v>
      </c>
      <c r="E808" s="3" t="n">
        <v>1128540</v>
      </c>
      <c r="F808" s="2" t="s">
        <v>14</v>
      </c>
      <c r="G808" s="3" t="n">
        <v>1148</v>
      </c>
      <c r="H808" s="2" t="s">
        <v>15</v>
      </c>
      <c r="I808" s="2" t="n">
        <v>1000</v>
      </c>
      <c r="J808" s="4" t="n">
        <f aca="false">IFERROR(E808*I808/D808,"")</f>
        <v>1147.65534746742</v>
      </c>
      <c r="K808" s="5" t="n">
        <f aca="false">IFERROR((J808-G808)/G808,"")</f>
        <v>-0.000300219976117235</v>
      </c>
      <c r="L808" s="2" t="str">
        <f aca="false">IF(K808="","",IF(ABS(K808)&gt;0.05,"CHECK","OK"))</f>
        <v>OK</v>
      </c>
    </row>
    <row r="809" customFormat="false" ht="15" hidden="false" customHeight="false" outlineLevel="0" collapsed="false">
      <c r="A809" s="2" t="s">
        <v>30</v>
      </c>
      <c r="B809" s="2" t="n">
        <v>1978</v>
      </c>
      <c r="C809" s="2" t="s">
        <v>89</v>
      </c>
      <c r="D809" s="3" t="n">
        <v>131618</v>
      </c>
      <c r="E809" s="3" t="n">
        <v>46290</v>
      </c>
      <c r="F809" s="2" t="s">
        <v>14</v>
      </c>
      <c r="G809" s="3" t="n">
        <v>1794</v>
      </c>
      <c r="H809" s="2" t="s">
        <v>15</v>
      </c>
      <c r="I809" s="2" t="n">
        <v>1000</v>
      </c>
      <c r="J809" s="4" t="n">
        <f aca="false">IFERROR(E809*I809/D809,"")</f>
        <v>351.699615554104</v>
      </c>
      <c r="K809" s="5" t="n">
        <f aca="false">IFERROR((J809-G809)/G809,"")</f>
        <v>-0.803957850861704</v>
      </c>
      <c r="L809" s="2" t="str">
        <f aca="false">IF(K809="","",IF(ABS(K809)&gt;0.05,"CHECK","OK"))</f>
        <v>CHECK</v>
      </c>
    </row>
    <row r="810" customFormat="false" ht="15" hidden="false" customHeight="false" outlineLevel="0" collapsed="false">
      <c r="A810" s="2" t="s">
        <v>31</v>
      </c>
      <c r="B810" s="2" t="n">
        <v>1979</v>
      </c>
      <c r="C810" s="2" t="s">
        <v>88</v>
      </c>
      <c r="D810" s="3" t="n">
        <v>998274</v>
      </c>
      <c r="E810" s="3" t="n">
        <v>1063250</v>
      </c>
      <c r="F810" s="2" t="s">
        <v>14</v>
      </c>
      <c r="G810" s="3" t="n">
        <v>1065</v>
      </c>
      <c r="H810" s="2" t="s">
        <v>15</v>
      </c>
      <c r="I810" s="2" t="n">
        <v>1000</v>
      </c>
      <c r="J810" s="4" t="n">
        <f aca="false">IFERROR(E810*I810/D810,"")</f>
        <v>1065.08834247912</v>
      </c>
      <c r="K810" s="5" t="n">
        <f aca="false">IFERROR((J810-G810)/G810,"")</f>
        <v>8.29506846186521E-005</v>
      </c>
      <c r="L810" s="2" t="str">
        <f aca="false">IF(K810="","",IF(ABS(K810)&gt;0.05,"CHECK","OK"))</f>
        <v>OK</v>
      </c>
    </row>
    <row r="811" customFormat="false" ht="15" hidden="false" customHeight="false" outlineLevel="0" collapsed="false">
      <c r="A811" s="2" t="s">
        <v>31</v>
      </c>
      <c r="B811" s="2" t="n">
        <v>1979</v>
      </c>
      <c r="C811" s="2" t="s">
        <v>89</v>
      </c>
      <c r="D811" s="3" t="n">
        <v>123583</v>
      </c>
      <c r="E811" s="3" t="n">
        <v>43250</v>
      </c>
      <c r="F811" s="2" t="s">
        <v>14</v>
      </c>
      <c r="G811" s="3" t="n">
        <v>1347</v>
      </c>
      <c r="H811" s="2" t="s">
        <v>15</v>
      </c>
      <c r="I811" s="2" t="n">
        <v>1000</v>
      </c>
      <c r="J811" s="4" t="n">
        <f aca="false">IFERROR(E811*I811/D811,"")</f>
        <v>349.967228502302</v>
      </c>
      <c r="K811" s="5" t="n">
        <f aca="false">IFERROR((J811-G811)/G811,"")</f>
        <v>-0.740187655157905</v>
      </c>
      <c r="L811" s="2" t="str">
        <f aca="false">IF(K811="","",IF(ABS(K811)&gt;0.05,"CHECK","OK"))</f>
        <v>CHECK</v>
      </c>
    </row>
    <row r="812" customFormat="false" ht="15" hidden="false" customHeight="false" outlineLevel="0" collapsed="false">
      <c r="A812" s="2" t="s">
        <v>32</v>
      </c>
      <c r="B812" s="2" t="n">
        <v>1980</v>
      </c>
      <c r="C812" s="2" t="s">
        <v>88</v>
      </c>
      <c r="D812" s="3" t="n">
        <v>841985</v>
      </c>
      <c r="E812" s="3" t="n">
        <v>768150</v>
      </c>
      <c r="F812" s="2" t="s">
        <v>14</v>
      </c>
      <c r="G812" s="3" t="n">
        <v>912</v>
      </c>
      <c r="H812" s="2" t="s">
        <v>15</v>
      </c>
      <c r="I812" s="2" t="n">
        <v>1000</v>
      </c>
      <c r="J812" s="4" t="n">
        <f aca="false">IFERROR(E812*I812/D812,"")</f>
        <v>912.308414045381</v>
      </c>
      <c r="K812" s="5" t="n">
        <f aca="false">IFERROR((J812-G812)/G812,"")</f>
        <v>0.000338173295373685</v>
      </c>
      <c r="L812" s="2" t="str">
        <f aca="false">IF(K812="","",IF(ABS(K812)&gt;0.05,"CHECK","OK"))</f>
        <v>OK</v>
      </c>
    </row>
    <row r="813" customFormat="false" ht="15" hidden="false" customHeight="false" outlineLevel="0" collapsed="false">
      <c r="A813" s="2" t="s">
        <v>32</v>
      </c>
      <c r="B813" s="2" t="n">
        <v>1980</v>
      </c>
      <c r="C813" s="2" t="s">
        <v>89</v>
      </c>
      <c r="D813" s="3" t="n">
        <v>100826</v>
      </c>
      <c r="E813" s="3" t="n">
        <v>33220</v>
      </c>
      <c r="F813" s="2" t="s">
        <v>14</v>
      </c>
      <c r="G813" s="3" t="n">
        <v>1781</v>
      </c>
      <c r="H813" s="2" t="s">
        <v>15</v>
      </c>
      <c r="I813" s="2" t="n">
        <v>1000</v>
      </c>
      <c r="J813" s="4" t="n">
        <f aca="false">IFERROR(E813*I813/D813,"")</f>
        <v>329.47850752782</v>
      </c>
      <c r="K813" s="5" t="n">
        <f aca="false">IFERROR((J813-G813)/G813,"")</f>
        <v>-0.815003645408299</v>
      </c>
      <c r="L813" s="2" t="str">
        <f aca="false">IF(K813="","",IF(ABS(K813)&gt;0.05,"CHECK","OK"))</f>
        <v>CHECK</v>
      </c>
    </row>
    <row r="814" customFormat="false" ht="15" hidden="false" customHeight="false" outlineLevel="0" collapsed="false">
      <c r="A814" s="2" t="s">
        <v>33</v>
      </c>
      <c r="B814" s="2" t="n">
        <v>1981</v>
      </c>
      <c r="C814" s="2" t="s">
        <v>88</v>
      </c>
      <c r="D814" s="3" t="n">
        <v>862774</v>
      </c>
      <c r="E814" s="3" t="n">
        <v>1041940</v>
      </c>
      <c r="F814" s="2" t="s">
        <v>14</v>
      </c>
      <c r="G814" s="3" t="n">
        <v>1208</v>
      </c>
      <c r="H814" s="2" t="s">
        <v>15</v>
      </c>
      <c r="I814" s="2" t="n">
        <v>1000</v>
      </c>
      <c r="J814" s="4" t="n">
        <f aca="false">IFERROR(E814*I814/D814,"")</f>
        <v>1207.66272511689</v>
      </c>
      <c r="K814" s="5" t="n">
        <f aca="false">IFERROR((J814-G814)/G814,"")</f>
        <v>-0.000279201062176786</v>
      </c>
      <c r="L814" s="2" t="str">
        <f aca="false">IF(K814="","",IF(ABS(K814)&gt;0.05,"CHECK","OK"))</f>
        <v>OK</v>
      </c>
    </row>
    <row r="815" customFormat="false" ht="15" hidden="false" customHeight="false" outlineLevel="0" collapsed="false">
      <c r="A815" s="2" t="s">
        <v>33</v>
      </c>
      <c r="B815" s="2" t="n">
        <v>1981</v>
      </c>
      <c r="C815" s="2" t="s">
        <v>89</v>
      </c>
      <c r="D815" s="3" t="n">
        <v>91723</v>
      </c>
      <c r="E815" s="3" t="n">
        <v>32770</v>
      </c>
      <c r="F815" s="2" t="s">
        <v>14</v>
      </c>
      <c r="G815" s="3" t="n">
        <v>1132</v>
      </c>
      <c r="H815" s="2" t="s">
        <v>15</v>
      </c>
      <c r="I815" s="2" t="n">
        <v>1000</v>
      </c>
      <c r="J815" s="4" t="n">
        <f aca="false">IFERROR(E815*I815/D815,"")</f>
        <v>357.271349606969</v>
      </c>
      <c r="K815" s="5" t="n">
        <f aca="false">IFERROR((J815-G815)/G815,"")</f>
        <v>-0.684389267131653</v>
      </c>
      <c r="L815" s="2" t="str">
        <f aca="false">IF(K815="","",IF(ABS(K815)&gt;0.05,"CHECK","OK"))</f>
        <v>CHECK</v>
      </c>
    </row>
    <row r="816" customFormat="false" ht="15" hidden="false" customHeight="false" outlineLevel="0" collapsed="false">
      <c r="A816" s="2" t="s">
        <v>34</v>
      </c>
      <c r="B816" s="2" t="n">
        <v>1982</v>
      </c>
      <c r="C816" s="2" t="s">
        <v>88</v>
      </c>
      <c r="D816" s="3" t="n">
        <v>758145</v>
      </c>
      <c r="E816" s="3" t="n">
        <v>711920</v>
      </c>
      <c r="F816" s="2" t="s">
        <v>14</v>
      </c>
      <c r="G816" s="3" t="n">
        <v>939</v>
      </c>
      <c r="H816" s="2" t="s">
        <v>15</v>
      </c>
      <c r="I816" s="2" t="n">
        <v>1000</v>
      </c>
      <c r="J816" s="4" t="n">
        <f aca="false">IFERROR(E816*I816/D816,"")</f>
        <v>939.028813749349</v>
      </c>
      <c r="K816" s="5" t="n">
        <f aca="false">IFERROR((J816-G816)/G816,"")</f>
        <v>3.06855690614786E-005</v>
      </c>
      <c r="L816" s="2" t="str">
        <f aca="false">IF(K816="","",IF(ABS(K816)&gt;0.05,"CHECK","OK"))</f>
        <v>OK</v>
      </c>
    </row>
    <row r="817" customFormat="false" ht="15" hidden="false" customHeight="false" outlineLevel="0" collapsed="false">
      <c r="A817" s="2" t="s">
        <v>34</v>
      </c>
      <c r="B817" s="2" t="n">
        <v>1982</v>
      </c>
      <c r="C817" s="2" t="s">
        <v>89</v>
      </c>
      <c r="D817" s="3" t="n">
        <v>76871</v>
      </c>
      <c r="E817" s="3" t="n">
        <v>23730</v>
      </c>
      <c r="F817" s="2" t="s">
        <v>14</v>
      </c>
      <c r="G817" s="3" t="n">
        <v>2041</v>
      </c>
      <c r="H817" s="2" t="s">
        <v>15</v>
      </c>
      <c r="I817" s="2" t="n">
        <v>1000</v>
      </c>
      <c r="J817" s="4" t="n">
        <f aca="false">IFERROR(E817*I817/D817,"")</f>
        <v>308.698989215699</v>
      </c>
      <c r="K817" s="5" t="n">
        <f aca="false">IFERROR((J817-G817)/G817,"")</f>
        <v>-0.848751107684616</v>
      </c>
      <c r="L817" s="2" t="str">
        <f aca="false">IF(K817="","",IF(ABS(K817)&gt;0.05,"CHECK","OK"))</f>
        <v>CHECK</v>
      </c>
    </row>
    <row r="818" customFormat="false" ht="15" hidden="false" customHeight="false" outlineLevel="0" collapsed="false">
      <c r="A818" s="2" t="s">
        <v>35</v>
      </c>
      <c r="B818" s="2" t="n">
        <v>1983</v>
      </c>
      <c r="C818" s="2" t="s">
        <v>88</v>
      </c>
      <c r="D818" s="3" t="n">
        <v>887267</v>
      </c>
      <c r="E818" s="3" t="n">
        <v>928490</v>
      </c>
      <c r="F818" s="2" t="s">
        <v>14</v>
      </c>
      <c r="G818" s="3" t="n">
        <v>1046</v>
      </c>
      <c r="H818" s="2" t="s">
        <v>15</v>
      </c>
      <c r="I818" s="2" t="n">
        <v>1000</v>
      </c>
      <c r="J818" s="4" t="n">
        <f aca="false">IFERROR(E818*I818/D818,"")</f>
        <v>1046.46064826033</v>
      </c>
      <c r="K818" s="5" t="n">
        <f aca="false">IFERROR((J818-G818)/G818,"")</f>
        <v>0.000440390306244681</v>
      </c>
      <c r="L818" s="2" t="str">
        <f aca="false">IF(K818="","",IF(ABS(K818)&gt;0.05,"CHECK","OK"))</f>
        <v>OK</v>
      </c>
    </row>
    <row r="819" customFormat="false" ht="15" hidden="false" customHeight="false" outlineLevel="0" collapsed="false">
      <c r="A819" s="2" t="s">
        <v>35</v>
      </c>
      <c r="B819" s="2" t="n">
        <v>1983</v>
      </c>
      <c r="C819" s="2" t="s">
        <v>89</v>
      </c>
      <c r="D819" s="3" t="n">
        <v>102177</v>
      </c>
      <c r="E819" s="3" t="n">
        <v>33080</v>
      </c>
      <c r="F819" s="2" t="s">
        <v>14</v>
      </c>
      <c r="G819" s="3" t="n">
        <v>3552</v>
      </c>
      <c r="H819" s="2" t="s">
        <v>15</v>
      </c>
      <c r="I819" s="2" t="n">
        <v>1000</v>
      </c>
      <c r="J819" s="4" t="n">
        <f aca="false">IFERROR(E819*I819/D819,"")</f>
        <v>323.751920686652</v>
      </c>
      <c r="K819" s="5" t="n">
        <f aca="false">IFERROR((J819-G819)/G819,"")</f>
        <v>-0.908853625932812</v>
      </c>
      <c r="L819" s="2" t="str">
        <f aca="false">IF(K819="","",IF(ABS(K819)&gt;0.05,"CHECK","OK"))</f>
        <v>CHECK</v>
      </c>
    </row>
    <row r="820" customFormat="false" ht="15" hidden="false" customHeight="false" outlineLevel="0" collapsed="false">
      <c r="A820" s="2" t="s">
        <v>36</v>
      </c>
      <c r="B820" s="2" t="n">
        <v>1984</v>
      </c>
      <c r="C820" s="2" t="s">
        <v>88</v>
      </c>
      <c r="D820" s="3" t="n">
        <v>960038</v>
      </c>
      <c r="E820" s="3" t="n">
        <v>986390</v>
      </c>
      <c r="F820" s="2" t="s">
        <v>14</v>
      </c>
      <c r="G820" s="3" t="n">
        <v>1027</v>
      </c>
      <c r="H820" s="2" t="s">
        <v>15</v>
      </c>
      <c r="I820" s="2" t="n">
        <v>1000</v>
      </c>
      <c r="J820" s="4" t="n">
        <f aca="false">IFERROR(E820*I820/D820,"")</f>
        <v>1027.44891348051</v>
      </c>
      <c r="K820" s="5" t="n">
        <f aca="false">IFERROR((J820-G820)/G820,"")</f>
        <v>0.000437111470796547</v>
      </c>
      <c r="L820" s="2" t="str">
        <f aca="false">IF(K820="","",IF(ABS(K820)&gt;0.05,"CHECK","OK"))</f>
        <v>OK</v>
      </c>
    </row>
    <row r="821" customFormat="false" ht="15" hidden="false" customHeight="false" outlineLevel="0" collapsed="false">
      <c r="A821" s="2" t="s">
        <v>36</v>
      </c>
      <c r="B821" s="2" t="n">
        <v>1984</v>
      </c>
      <c r="C821" s="2" t="s">
        <v>89</v>
      </c>
      <c r="D821" s="3" t="n">
        <v>99760</v>
      </c>
      <c r="E821" s="3" t="n">
        <v>35670</v>
      </c>
      <c r="F821" s="2" t="s">
        <v>14</v>
      </c>
      <c r="G821" s="3" t="n">
        <v>1022</v>
      </c>
      <c r="H821" s="2" t="s">
        <v>15</v>
      </c>
      <c r="I821" s="2" t="n">
        <v>1000</v>
      </c>
      <c r="J821" s="4" t="n">
        <f aca="false">IFERROR(E821*I821/D821,"")</f>
        <v>357.558139534884</v>
      </c>
      <c r="K821" s="5" t="n">
        <f aca="false">IFERROR((J821-G821)/G821,"")</f>
        <v>-0.650138806717335</v>
      </c>
      <c r="L821" s="2" t="str">
        <f aca="false">IF(K821="","",IF(ABS(K821)&gt;0.05,"CHECK","OK"))</f>
        <v>CHECK</v>
      </c>
    </row>
    <row r="822" customFormat="false" ht="15" hidden="false" customHeight="false" outlineLevel="0" collapsed="false">
      <c r="A822" s="2" t="s">
        <v>37</v>
      </c>
      <c r="B822" s="2" t="n">
        <v>1985</v>
      </c>
      <c r="C822" s="2" t="s">
        <v>88</v>
      </c>
      <c r="D822" s="3" t="n">
        <v>932049</v>
      </c>
      <c r="E822" s="3" t="n">
        <v>1176020</v>
      </c>
      <c r="F822" s="2" t="s">
        <v>14</v>
      </c>
      <c r="G822" s="3" t="n">
        <v>1262</v>
      </c>
      <c r="H822" s="2" t="s">
        <v>15</v>
      </c>
      <c r="I822" s="2" t="n">
        <v>1000</v>
      </c>
      <c r="J822" s="4" t="n">
        <f aca="false">IFERROR(E822*I822/D822,"")</f>
        <v>1261.75769728845</v>
      </c>
      <c r="K822" s="5" t="n">
        <f aca="false">IFERROR((J822-G822)/G822,"")</f>
        <v>-0.000191998979043273</v>
      </c>
      <c r="L822" s="2" t="str">
        <f aca="false">IF(K822="","",IF(ABS(K822)&gt;0.05,"CHECK","OK"))</f>
        <v>OK</v>
      </c>
    </row>
    <row r="823" customFormat="false" ht="15" hidden="false" customHeight="false" outlineLevel="0" collapsed="false">
      <c r="A823" s="2" t="s">
        <v>37</v>
      </c>
      <c r="B823" s="2" t="n">
        <v>1985</v>
      </c>
      <c r="C823" s="2" t="s">
        <v>89</v>
      </c>
      <c r="D823" s="3" t="n">
        <v>113744</v>
      </c>
      <c r="E823" s="3" t="n">
        <v>45610</v>
      </c>
      <c r="F823" s="2" t="s">
        <v>14</v>
      </c>
      <c r="G823" s="3" t="n">
        <v>2307</v>
      </c>
      <c r="H823" s="2" t="s">
        <v>15</v>
      </c>
      <c r="I823" s="2" t="n">
        <v>1000</v>
      </c>
      <c r="J823" s="4" t="n">
        <f aca="false">IFERROR(E823*I823/D823,"")</f>
        <v>400.988183992123</v>
      </c>
      <c r="K823" s="5" t="n">
        <f aca="false">IFERROR((J823-G823)/G823,"")</f>
        <v>-0.826186309496262</v>
      </c>
      <c r="L823" s="2" t="str">
        <f aca="false">IF(K823="","",IF(ABS(K823)&gt;0.05,"CHECK","OK"))</f>
        <v>CHECK</v>
      </c>
    </row>
    <row r="824" customFormat="false" ht="15" hidden="false" customHeight="false" outlineLevel="0" collapsed="false">
      <c r="A824" s="2" t="s">
        <v>38</v>
      </c>
      <c r="B824" s="2" t="n">
        <v>1986</v>
      </c>
      <c r="C824" s="2" t="s">
        <v>88</v>
      </c>
      <c r="D824" s="3" t="n">
        <v>897029</v>
      </c>
      <c r="E824" s="3" t="n">
        <v>1092600</v>
      </c>
      <c r="F824" s="2" t="s">
        <v>14</v>
      </c>
      <c r="G824" s="3" t="n">
        <v>1218</v>
      </c>
      <c r="H824" s="2" t="s">
        <v>15</v>
      </c>
      <c r="I824" s="2" t="n">
        <v>1000</v>
      </c>
      <c r="J824" s="4" t="n">
        <f aca="false">IFERROR(E824*I824/D824,"")</f>
        <v>1218.0208220693</v>
      </c>
      <c r="K824" s="5" t="n">
        <f aca="false">IFERROR((J824-G824)/G824,"")</f>
        <v>1.7095294989768E-005</v>
      </c>
      <c r="L824" s="2" t="str">
        <f aca="false">IF(K824="","",IF(ABS(K824)&gt;0.05,"CHECK","OK"))</f>
        <v>OK</v>
      </c>
    </row>
    <row r="825" customFormat="false" ht="15" hidden="false" customHeight="false" outlineLevel="0" collapsed="false">
      <c r="A825" s="2" t="s">
        <v>38</v>
      </c>
      <c r="B825" s="2" t="n">
        <v>1986</v>
      </c>
      <c r="C825" s="2" t="s">
        <v>89</v>
      </c>
      <c r="D825" s="3" t="n">
        <v>107740</v>
      </c>
      <c r="E825" s="3" t="n">
        <v>32420</v>
      </c>
      <c r="F825" s="2" t="s">
        <v>14</v>
      </c>
      <c r="G825" s="3" t="n">
        <v>1951</v>
      </c>
      <c r="H825" s="2" t="s">
        <v>15</v>
      </c>
      <c r="I825" s="2" t="n">
        <v>1000</v>
      </c>
      <c r="J825" s="4" t="n">
        <f aca="false">IFERROR(E825*I825/D825,"")</f>
        <v>300.909597178392</v>
      </c>
      <c r="K825" s="5" t="n">
        <f aca="false">IFERROR((J825-G825)/G825,"")</f>
        <v>-0.845766480175094</v>
      </c>
      <c r="L825" s="2" t="str">
        <f aca="false">IF(K825="","",IF(ABS(K825)&gt;0.05,"CHECK","OK"))</f>
        <v>CHECK</v>
      </c>
    </row>
    <row r="826" customFormat="false" ht="15" hidden="false" customHeight="false" outlineLevel="0" collapsed="false">
      <c r="A826" s="2" t="s">
        <v>39</v>
      </c>
      <c r="B826" s="2" t="n">
        <v>1987</v>
      </c>
      <c r="C826" s="2" t="s">
        <v>88</v>
      </c>
      <c r="D826" s="3" t="n">
        <v>991173</v>
      </c>
      <c r="E826" s="3" t="n">
        <v>1308890</v>
      </c>
      <c r="F826" s="2" t="s">
        <v>14</v>
      </c>
      <c r="G826" s="3" t="n">
        <v>1321</v>
      </c>
      <c r="H826" s="2" t="s">
        <v>15</v>
      </c>
      <c r="I826" s="2" t="n">
        <v>1000</v>
      </c>
      <c r="J826" s="4" t="n">
        <f aca="false">IFERROR(E826*I826/D826,"")</f>
        <v>1320.5464636345</v>
      </c>
      <c r="K826" s="5" t="n">
        <f aca="false">IFERROR((J826-G826)/G826,"")</f>
        <v>-0.000343328058666288</v>
      </c>
      <c r="L826" s="2" t="str">
        <f aca="false">IF(K826="","",IF(ABS(K826)&gt;0.05,"CHECK","OK"))</f>
        <v>OK</v>
      </c>
    </row>
    <row r="827" customFormat="false" ht="15" hidden="false" customHeight="false" outlineLevel="0" collapsed="false">
      <c r="A827" s="2" t="s">
        <v>39</v>
      </c>
      <c r="B827" s="2" t="n">
        <v>1987</v>
      </c>
      <c r="C827" s="2" t="s">
        <v>89</v>
      </c>
      <c r="D827" s="3" t="n">
        <v>145139</v>
      </c>
      <c r="E827" s="3" t="n">
        <v>55400</v>
      </c>
      <c r="F827" s="2" t="s">
        <v>14</v>
      </c>
      <c r="G827" s="3" t="n">
        <v>1907</v>
      </c>
      <c r="H827" s="2" t="s">
        <v>15</v>
      </c>
      <c r="I827" s="2" t="n">
        <v>1000</v>
      </c>
      <c r="J827" s="4" t="n">
        <f aca="false">IFERROR(E827*I827/D827,"")</f>
        <v>381.70305706943</v>
      </c>
      <c r="K827" s="5" t="n">
        <f aca="false">IFERROR((J827-G827)/G827,"")</f>
        <v>-0.799841081767472</v>
      </c>
      <c r="L827" s="2" t="str">
        <f aca="false">IF(K827="","",IF(ABS(K827)&gt;0.05,"CHECK","OK"))</f>
        <v>CHECK</v>
      </c>
    </row>
    <row r="828" customFormat="false" ht="15" hidden="false" customHeight="false" outlineLevel="0" collapsed="false">
      <c r="A828" s="2" t="s">
        <v>40</v>
      </c>
      <c r="B828" s="2" t="n">
        <v>1988</v>
      </c>
      <c r="C828" s="2" t="s">
        <v>88</v>
      </c>
      <c r="D828" s="3" t="n">
        <v>962373</v>
      </c>
      <c r="E828" s="3" t="n">
        <v>1094370</v>
      </c>
      <c r="F828" s="2" t="s">
        <v>14</v>
      </c>
      <c r="G828" s="3" t="n">
        <v>1137</v>
      </c>
      <c r="H828" s="2" t="s">
        <v>15</v>
      </c>
      <c r="I828" s="2" t="n">
        <v>1000</v>
      </c>
      <c r="J828" s="4" t="n">
        <f aca="false">IFERROR(E828*I828/D828,"")</f>
        <v>1137.15783796927</v>
      </c>
      <c r="K828" s="5" t="n">
        <f aca="false">IFERROR((J828-G828)/G828,"")</f>
        <v>0.000138819673939861</v>
      </c>
      <c r="L828" s="2" t="str">
        <f aca="false">IF(K828="","",IF(ABS(K828)&gt;0.05,"CHECK","OK"))</f>
        <v>OK</v>
      </c>
    </row>
    <row r="829" customFormat="false" ht="15" hidden="false" customHeight="false" outlineLevel="0" collapsed="false">
      <c r="A829" s="2" t="s">
        <v>40</v>
      </c>
      <c r="B829" s="2" t="n">
        <v>1988</v>
      </c>
      <c r="C829" s="2" t="s">
        <v>89</v>
      </c>
      <c r="D829" s="3" t="n">
        <v>115630</v>
      </c>
      <c r="E829" s="3" t="n">
        <v>35030</v>
      </c>
      <c r="F829" s="2" t="s">
        <v>14</v>
      </c>
      <c r="G829" s="3" t="n">
        <v>1437</v>
      </c>
      <c r="H829" s="2" t="s">
        <v>15</v>
      </c>
      <c r="I829" s="2" t="n">
        <v>1000</v>
      </c>
      <c r="J829" s="4" t="n">
        <f aca="false">IFERROR(E829*I829/D829,"")</f>
        <v>302.949061662198</v>
      </c>
      <c r="K829" s="5" t="n">
        <f aca="false">IFERROR((J829-G829)/G829,"")</f>
        <v>-0.789179497799444</v>
      </c>
      <c r="L829" s="2" t="str">
        <f aca="false">IF(K829="","",IF(ABS(K829)&gt;0.05,"CHECK","OK"))</f>
        <v>CHECK</v>
      </c>
    </row>
    <row r="830" customFormat="false" ht="15" hidden="false" customHeight="false" outlineLevel="0" collapsed="false">
      <c r="A830" s="2" t="s">
        <v>41</v>
      </c>
      <c r="B830" s="2" t="n">
        <v>1989</v>
      </c>
      <c r="C830" s="2" t="s">
        <v>88</v>
      </c>
      <c r="D830" s="3" t="n">
        <v>1015915</v>
      </c>
      <c r="E830" s="3" t="n">
        <v>1211470</v>
      </c>
      <c r="F830" s="2" t="s">
        <v>14</v>
      </c>
      <c r="G830" s="3" t="n">
        <v>1193</v>
      </c>
      <c r="H830" s="2" t="s">
        <v>15</v>
      </c>
      <c r="I830" s="2" t="n">
        <v>1000</v>
      </c>
      <c r="J830" s="4" t="n">
        <f aca="false">IFERROR(E830*I830/D830,"")</f>
        <v>1192.49149781232</v>
      </c>
      <c r="K830" s="5" t="n">
        <f aca="false">IFERROR((J830-G830)/G830,"")</f>
        <v>-0.000426238212642923</v>
      </c>
      <c r="L830" s="2" t="str">
        <f aca="false">IF(K830="","",IF(ABS(K830)&gt;0.05,"CHECK","OK"))</f>
        <v>OK</v>
      </c>
    </row>
    <row r="831" customFormat="false" ht="15" hidden="false" customHeight="false" outlineLevel="0" collapsed="false">
      <c r="A831" s="2" t="s">
        <v>41</v>
      </c>
      <c r="B831" s="2" t="n">
        <v>1989</v>
      </c>
      <c r="C831" s="2" t="s">
        <v>89</v>
      </c>
      <c r="D831" s="3" t="n">
        <v>140011</v>
      </c>
      <c r="E831" s="3" t="n">
        <v>45380</v>
      </c>
      <c r="F831" s="2" t="s">
        <v>14</v>
      </c>
      <c r="G831" s="3" t="n">
        <v>1152</v>
      </c>
      <c r="H831" s="2" t="s">
        <v>15</v>
      </c>
      <c r="I831" s="2" t="n">
        <v>1000</v>
      </c>
      <c r="J831" s="4" t="n">
        <f aca="false">IFERROR(E831*I831/D831,"")</f>
        <v>324.117390776439</v>
      </c>
      <c r="K831" s="5" t="n">
        <f aca="false">IFERROR((J831-G831)/G831,"")</f>
        <v>-0.718648098284341</v>
      </c>
      <c r="L831" s="2" t="str">
        <f aca="false">IF(K831="","",IF(ABS(K831)&gt;0.05,"CHECK","OK"))</f>
        <v>CHECK</v>
      </c>
    </row>
    <row r="832" customFormat="false" ht="15" hidden="false" customHeight="false" outlineLevel="0" collapsed="false">
      <c r="A832" s="2" t="s">
        <v>42</v>
      </c>
      <c r="B832" s="2" t="n">
        <v>1990</v>
      </c>
      <c r="C832" s="2" t="s">
        <v>88</v>
      </c>
      <c r="D832" s="3" t="n">
        <v>962748</v>
      </c>
      <c r="E832" s="3" t="n">
        <v>1179100</v>
      </c>
      <c r="F832" s="2" t="s">
        <v>14</v>
      </c>
      <c r="G832" s="3" t="n">
        <v>1225</v>
      </c>
      <c r="H832" s="2" t="s">
        <v>15</v>
      </c>
      <c r="I832" s="2" t="n">
        <v>1000</v>
      </c>
      <c r="J832" s="4" t="n">
        <f aca="false">IFERROR(E832*I832/D832,"")</f>
        <v>1224.72339594577</v>
      </c>
      <c r="K832" s="5" t="n">
        <f aca="false">IFERROR((J832-G832)/G832,"")</f>
        <v>-0.000225799227941284</v>
      </c>
      <c r="L832" s="2" t="str">
        <f aca="false">IF(K832="","",IF(ABS(K832)&gt;0.05,"CHECK","OK"))</f>
        <v>OK</v>
      </c>
    </row>
    <row r="833" customFormat="false" ht="15" hidden="false" customHeight="false" outlineLevel="0" collapsed="false">
      <c r="A833" s="2" t="s">
        <v>42</v>
      </c>
      <c r="B833" s="2" t="n">
        <v>1990</v>
      </c>
      <c r="C833" s="2" t="s">
        <v>89</v>
      </c>
      <c r="D833" s="3" t="n">
        <v>138086</v>
      </c>
      <c r="E833" s="3" t="n">
        <v>42430</v>
      </c>
      <c r="F833" s="2" t="s">
        <v>14</v>
      </c>
      <c r="G833" s="3" t="n">
        <v>307</v>
      </c>
      <c r="H833" s="2" t="s">
        <v>15</v>
      </c>
      <c r="I833" s="2" t="n">
        <v>1000</v>
      </c>
      <c r="J833" s="4" t="n">
        <f aca="false">IFERROR(E833*I833/D833,"")</f>
        <v>307.272279593876</v>
      </c>
      <c r="K833" s="5" t="n">
        <f aca="false">IFERROR((J833-G833)/G833,"")</f>
        <v>0.0008869042145808</v>
      </c>
      <c r="L833" s="2" t="str">
        <f aca="false">IF(K833="","",IF(ABS(K833)&gt;0.05,"CHECK","OK"))</f>
        <v>OK</v>
      </c>
    </row>
    <row r="834" customFormat="false" ht="15" hidden="false" customHeight="false" outlineLevel="0" collapsed="false">
      <c r="A834" s="2" t="s">
        <v>43</v>
      </c>
      <c r="B834" s="2" t="n">
        <v>1991</v>
      </c>
      <c r="C834" s="2" t="s">
        <v>88</v>
      </c>
      <c r="D834" s="3" t="n">
        <v>1099214</v>
      </c>
      <c r="E834" s="3" t="n">
        <v>1517620</v>
      </c>
      <c r="F834" s="2" t="s">
        <v>14</v>
      </c>
      <c r="G834" s="3" t="n">
        <v>1381</v>
      </c>
      <c r="H834" s="2" t="s">
        <v>15</v>
      </c>
      <c r="I834" s="2" t="n">
        <v>1000</v>
      </c>
      <c r="J834" s="4" t="n">
        <f aca="false">IFERROR(E834*I834/D834,"")</f>
        <v>1380.64107625995</v>
      </c>
      <c r="K834" s="5" t="n">
        <f aca="false">IFERROR((J834-G834)/G834,"")</f>
        <v>-0.000259901332407134</v>
      </c>
      <c r="L834" s="2" t="str">
        <f aca="false">IF(K834="","",IF(ABS(K834)&gt;0.05,"CHECK","OK"))</f>
        <v>OK</v>
      </c>
    </row>
    <row r="835" customFormat="false" ht="15" hidden="false" customHeight="false" outlineLevel="0" collapsed="false">
      <c r="A835" s="2" t="s">
        <v>43</v>
      </c>
      <c r="B835" s="2" t="n">
        <v>1991</v>
      </c>
      <c r="C835" s="2" t="s">
        <v>89</v>
      </c>
      <c r="D835" s="3" t="n">
        <v>149425</v>
      </c>
      <c r="E835" s="3" t="n">
        <v>59070</v>
      </c>
      <c r="F835" s="2" t="s">
        <v>14</v>
      </c>
      <c r="G835" s="3" t="n">
        <v>1033</v>
      </c>
      <c r="H835" s="2" t="s">
        <v>15</v>
      </c>
      <c r="I835" s="2" t="n">
        <v>1000</v>
      </c>
      <c r="J835" s="4" t="n">
        <f aca="false">IFERROR(E835*I835/D835,"")</f>
        <v>395.315375606492</v>
      </c>
      <c r="K835" s="5" t="n">
        <f aca="false">IFERROR((J835-G835)/G835,"")</f>
        <v>-0.61731328595693</v>
      </c>
      <c r="L835" s="2" t="str">
        <f aca="false">IF(K835="","",IF(ABS(K835)&gt;0.05,"CHECK","OK"))</f>
        <v>CHECK</v>
      </c>
    </row>
    <row r="836" customFormat="false" ht="15" hidden="false" customHeight="false" outlineLevel="0" collapsed="false">
      <c r="A836" s="2" t="s">
        <v>44</v>
      </c>
      <c r="B836" s="2" t="n">
        <v>1992</v>
      </c>
      <c r="C836" s="2" t="s">
        <v>88</v>
      </c>
      <c r="D836" s="3" t="n">
        <v>1188405</v>
      </c>
      <c r="E836" s="3" t="n">
        <v>1766320</v>
      </c>
      <c r="F836" s="2" t="s">
        <v>14</v>
      </c>
      <c r="G836" s="3" t="n">
        <v>1486</v>
      </c>
      <c r="H836" s="2" t="s">
        <v>15</v>
      </c>
      <c r="I836" s="2" t="n">
        <v>1000</v>
      </c>
      <c r="J836" s="4" t="n">
        <f aca="false">IFERROR(E836*I836/D836,"")</f>
        <v>1486.29465544154</v>
      </c>
      <c r="K836" s="5" t="n">
        <f aca="false">IFERROR((J836-G836)/G836,"")</f>
        <v>0.000198287645718094</v>
      </c>
      <c r="L836" s="2" t="str">
        <f aca="false">IF(K836="","",IF(ABS(K836)&gt;0.05,"CHECK","OK"))</f>
        <v>OK</v>
      </c>
    </row>
    <row r="837" customFormat="false" ht="15" hidden="false" customHeight="false" outlineLevel="0" collapsed="false">
      <c r="A837" s="2" t="s">
        <v>44</v>
      </c>
      <c r="B837" s="2" t="n">
        <v>1992</v>
      </c>
      <c r="C837" s="2" t="s">
        <v>89</v>
      </c>
      <c r="D837" s="3" t="n">
        <v>140798</v>
      </c>
      <c r="E837" s="3" t="n">
        <v>68820</v>
      </c>
      <c r="F837" s="2" t="s">
        <v>14</v>
      </c>
      <c r="G837" s="3" t="n">
        <v>1141</v>
      </c>
      <c r="H837" s="2" t="s">
        <v>15</v>
      </c>
      <c r="I837" s="2" t="n">
        <v>1000</v>
      </c>
      <c r="J837" s="4" t="n">
        <f aca="false">IFERROR(E837*I837/D837,"")</f>
        <v>488.78535206466</v>
      </c>
      <c r="K837" s="5" t="n">
        <f aca="false">IFERROR((J837-G837)/G837,"")</f>
        <v>-0.571616694071288</v>
      </c>
      <c r="L837" s="2" t="str">
        <f aca="false">IF(K837="","",IF(ABS(K837)&gt;0.05,"CHECK","OK"))</f>
        <v>CHECK</v>
      </c>
    </row>
    <row r="838" customFormat="false" ht="15" hidden="false" customHeight="false" outlineLevel="0" collapsed="false">
      <c r="A838" s="2" t="s">
        <v>45</v>
      </c>
      <c r="B838" s="2" t="n">
        <v>1993</v>
      </c>
      <c r="C838" s="2" t="s">
        <v>88</v>
      </c>
      <c r="D838" s="3" t="n">
        <v>1158350</v>
      </c>
      <c r="E838" s="3" t="n">
        <v>1865590</v>
      </c>
      <c r="F838" s="2" t="s">
        <v>14</v>
      </c>
      <c r="G838" s="3" t="n">
        <v>1611</v>
      </c>
      <c r="H838" s="2" t="s">
        <v>15</v>
      </c>
      <c r="I838" s="2" t="n">
        <v>1000</v>
      </c>
      <c r="J838" s="4" t="n">
        <f aca="false">IFERROR(E838*I838/D838,"")</f>
        <v>1610.55812146588</v>
      </c>
      <c r="K838" s="5" t="n">
        <f aca="false">IFERROR((J838-G838)/G838,"")</f>
        <v>-0.000274288351410161</v>
      </c>
      <c r="L838" s="2" t="str">
        <f aca="false">IF(K838="","",IF(ABS(K838)&gt;0.05,"CHECK","OK"))</f>
        <v>OK</v>
      </c>
    </row>
    <row r="839" customFormat="false" ht="15" hidden="false" customHeight="false" outlineLevel="0" collapsed="false">
      <c r="A839" s="2" t="s">
        <v>45</v>
      </c>
      <c r="B839" s="2" t="n">
        <v>1993</v>
      </c>
      <c r="C839" s="2" t="s">
        <v>89</v>
      </c>
      <c r="D839" s="3" t="n">
        <v>129355</v>
      </c>
      <c r="E839" s="3" t="n">
        <v>59100</v>
      </c>
      <c r="F839" s="2" t="s">
        <v>14</v>
      </c>
      <c r="G839" s="3" t="n">
        <v>1080</v>
      </c>
      <c r="H839" s="2" t="s">
        <v>15</v>
      </c>
      <c r="I839" s="2" t="n">
        <v>1000</v>
      </c>
      <c r="J839" s="4" t="n">
        <f aca="false">IFERROR(E839*I839/D839,"")</f>
        <v>456.882223338874</v>
      </c>
      <c r="K839" s="5" t="n">
        <f aca="false">IFERROR((J839-G839)/G839,"")</f>
        <v>-0.576960904315858</v>
      </c>
      <c r="L839" s="2" t="str">
        <f aca="false">IF(K839="","",IF(ABS(K839)&gt;0.05,"CHECK","OK"))</f>
        <v>CHECK</v>
      </c>
    </row>
    <row r="840" customFormat="false" ht="15" hidden="false" customHeight="false" outlineLevel="0" collapsed="false">
      <c r="A840" s="2" t="s">
        <v>46</v>
      </c>
      <c r="B840" s="2" t="n">
        <v>1994</v>
      </c>
      <c r="C840" s="2" t="s">
        <v>88</v>
      </c>
      <c r="D840" s="3" t="n">
        <v>1079893</v>
      </c>
      <c r="E840" s="3" t="n">
        <v>1762390</v>
      </c>
      <c r="F840" s="2" t="s">
        <v>14</v>
      </c>
      <c r="G840" s="3" t="n">
        <v>1632</v>
      </c>
      <c r="H840" s="2" t="s">
        <v>15</v>
      </c>
      <c r="I840" s="2" t="n">
        <v>1000</v>
      </c>
      <c r="J840" s="4" t="n">
        <f aca="false">IFERROR(E840*I840/D840,"")</f>
        <v>1632.00428190571</v>
      </c>
      <c r="K840" s="5" t="n">
        <f aca="false">IFERROR((J840-G840)/G840,"")</f>
        <v>2.62371673243274E-006</v>
      </c>
      <c r="L840" s="2" t="str">
        <f aca="false">IF(K840="","",IF(ABS(K840)&gt;0.05,"CHECK","OK"))</f>
        <v>OK</v>
      </c>
    </row>
    <row r="841" customFormat="false" ht="15" hidden="false" customHeight="false" outlineLevel="0" collapsed="false">
      <c r="A841" s="2" t="s">
        <v>46</v>
      </c>
      <c r="B841" s="2" t="n">
        <v>1994</v>
      </c>
      <c r="C841" s="2" t="s">
        <v>89</v>
      </c>
      <c r="D841" s="3" t="n">
        <v>127023</v>
      </c>
      <c r="E841" s="3" t="n">
        <v>59190</v>
      </c>
      <c r="F841" s="2" t="s">
        <v>14</v>
      </c>
      <c r="G841" s="3" t="n">
        <v>1562</v>
      </c>
      <c r="H841" s="2" t="s">
        <v>15</v>
      </c>
      <c r="I841" s="2" t="n">
        <v>1000</v>
      </c>
      <c r="J841" s="4" t="n">
        <f aca="false">IFERROR(E841*I841/D841,"")</f>
        <v>465.978602300371</v>
      </c>
      <c r="K841" s="5" t="n">
        <f aca="false">IFERROR((J841-G841)/G841,"")</f>
        <v>-0.701678231561863</v>
      </c>
      <c r="L841" s="2" t="str">
        <f aca="false">IF(K841="","",IF(ABS(K841)&gt;0.05,"CHECK","OK"))</f>
        <v>CHECK</v>
      </c>
    </row>
    <row r="842" customFormat="false" ht="15" hidden="false" customHeight="false" outlineLevel="0" collapsed="false">
      <c r="A842" s="2" t="s">
        <v>47</v>
      </c>
      <c r="B842" s="2" t="n">
        <v>1995</v>
      </c>
      <c r="C842" s="2" t="s">
        <v>88</v>
      </c>
      <c r="D842" s="3" t="n">
        <v>933353</v>
      </c>
      <c r="E842" s="3" t="n">
        <v>1520300</v>
      </c>
      <c r="F842" s="2" t="s">
        <v>14</v>
      </c>
      <c r="G842" s="3" t="n">
        <v>1629</v>
      </c>
      <c r="H842" s="2" t="s">
        <v>15</v>
      </c>
      <c r="I842" s="2" t="n">
        <v>1000</v>
      </c>
      <c r="J842" s="4" t="n">
        <f aca="false">IFERROR(E842*I842/D842,"")</f>
        <v>1628.85853476659</v>
      </c>
      <c r="K842" s="5" t="n">
        <f aca="false">IFERROR((J842-G842)/G842,"")</f>
        <v>-8.68417639110216E-005</v>
      </c>
      <c r="L842" s="2" t="str">
        <f aca="false">IF(K842="","",IF(ABS(K842)&gt;0.05,"CHECK","OK"))</f>
        <v>OK</v>
      </c>
    </row>
    <row r="843" customFormat="false" ht="15" hidden="false" customHeight="false" outlineLevel="0" collapsed="false">
      <c r="A843" s="2" t="s">
        <v>47</v>
      </c>
      <c r="B843" s="2" t="n">
        <v>1995</v>
      </c>
      <c r="C843" s="2" t="s">
        <v>89</v>
      </c>
      <c r="D843" s="3" t="n">
        <v>99656</v>
      </c>
      <c r="E843" s="3" t="n">
        <v>38880</v>
      </c>
      <c r="F843" s="2" t="s">
        <v>14</v>
      </c>
      <c r="G843" s="3" t="n">
        <v>390</v>
      </c>
      <c r="H843" s="2" t="s">
        <v>15</v>
      </c>
      <c r="I843" s="2" t="n">
        <v>1000</v>
      </c>
      <c r="J843" s="4" t="n">
        <f aca="false">IFERROR(E843*I843/D843,"")</f>
        <v>390.142088785422</v>
      </c>
      <c r="K843" s="5" t="n">
        <f aca="false">IFERROR((J843-G843)/G843,"")</f>
        <v>0.000364330219030343</v>
      </c>
      <c r="L843" s="2" t="str">
        <f aca="false">IF(K843="","",IF(ABS(K843)&gt;0.05,"CHECK","OK"))</f>
        <v>OK</v>
      </c>
    </row>
    <row r="844" customFormat="false" ht="15" hidden="false" customHeight="false" outlineLevel="0" collapsed="false">
      <c r="A844" s="2" t="s">
        <v>48</v>
      </c>
      <c r="B844" s="2" t="n">
        <v>1996</v>
      </c>
      <c r="C844" s="2" t="s">
        <v>88</v>
      </c>
      <c r="D844" s="3" t="n">
        <v>901508</v>
      </c>
      <c r="E844" s="3" t="n">
        <v>1438300</v>
      </c>
      <c r="F844" s="2" t="s">
        <v>14</v>
      </c>
      <c r="G844" s="3" t="n">
        <v>1595</v>
      </c>
      <c r="H844" s="2" t="s">
        <v>15</v>
      </c>
      <c r="I844" s="2" t="n">
        <v>1000</v>
      </c>
      <c r="J844" s="4" t="n">
        <f aca="false">IFERROR(E844*I844/D844,"")</f>
        <v>1595.43786633064</v>
      </c>
      <c r="K844" s="5" t="n">
        <f aca="false">IFERROR((J844-G844)/G844,"")</f>
        <v>0.000274524345226964</v>
      </c>
      <c r="L844" s="2" t="str">
        <f aca="false">IF(K844="","",IF(ABS(K844)&gt;0.05,"CHECK","OK"))</f>
        <v>OK</v>
      </c>
    </row>
    <row r="845" customFormat="false" ht="15" hidden="false" customHeight="false" outlineLevel="0" collapsed="false">
      <c r="A845" s="2" t="s">
        <v>48</v>
      </c>
      <c r="B845" s="2" t="n">
        <v>1996</v>
      </c>
      <c r="C845" s="2" t="s">
        <v>89</v>
      </c>
      <c r="D845" s="3" t="n">
        <v>102570</v>
      </c>
      <c r="E845" s="3" t="n">
        <v>44430</v>
      </c>
      <c r="F845" s="2" t="s">
        <v>14</v>
      </c>
      <c r="G845" s="3" t="n">
        <v>1377</v>
      </c>
      <c r="H845" s="2" t="s">
        <v>15</v>
      </c>
      <c r="I845" s="2" t="n">
        <v>1000</v>
      </c>
      <c r="J845" s="4" t="n">
        <f aca="false">IFERROR(E845*I845/D845,"")</f>
        <v>433.16759286341</v>
      </c>
      <c r="K845" s="5" t="n">
        <f aca="false">IFERROR((J845-G845)/G845,"")</f>
        <v>-0.685426584703406</v>
      </c>
      <c r="L845" s="2" t="str">
        <f aca="false">IF(K845="","",IF(ABS(K845)&gt;0.05,"CHECK","OK"))</f>
        <v>CHECK</v>
      </c>
    </row>
    <row r="846" customFormat="false" ht="15" hidden="false" customHeight="false" outlineLevel="0" collapsed="false">
      <c r="A846" s="2" t="s">
        <v>49</v>
      </c>
      <c r="B846" s="2" t="n">
        <v>1997</v>
      </c>
      <c r="C846" s="2" t="s">
        <v>88</v>
      </c>
      <c r="D846" s="3" t="n">
        <v>867633</v>
      </c>
      <c r="E846" s="3" t="n">
        <v>1408010</v>
      </c>
      <c r="F846" s="2" t="s">
        <v>14</v>
      </c>
      <c r="G846" s="3" t="n">
        <v>1623</v>
      </c>
      <c r="H846" s="2" t="s">
        <v>15</v>
      </c>
      <c r="I846" s="2" t="n">
        <v>1000</v>
      </c>
      <c r="J846" s="4" t="n">
        <f aca="false">IFERROR(E846*I846/D846,"")</f>
        <v>1622.81748158496</v>
      </c>
      <c r="K846" s="5" t="n">
        <f aca="false">IFERROR((J846-G846)/G846,"")</f>
        <v>-0.000112457433791814</v>
      </c>
      <c r="L846" s="2" t="str">
        <f aca="false">IF(K846="","",IF(ABS(K846)&gt;0.05,"CHECK","OK"))</f>
        <v>OK</v>
      </c>
    </row>
    <row r="847" customFormat="false" ht="15" hidden="false" customHeight="false" outlineLevel="0" collapsed="false">
      <c r="A847" s="2" t="s">
        <v>49</v>
      </c>
      <c r="B847" s="2" t="n">
        <v>1997</v>
      </c>
      <c r="C847" s="2" t="s">
        <v>89</v>
      </c>
      <c r="D847" s="3" t="n">
        <v>88435</v>
      </c>
      <c r="E847" s="3" t="n">
        <v>44600</v>
      </c>
      <c r="F847" s="2" t="s">
        <v>14</v>
      </c>
      <c r="G847" s="3" t="n">
        <v>1141</v>
      </c>
      <c r="H847" s="2" t="s">
        <v>15</v>
      </c>
      <c r="I847" s="2" t="n">
        <v>1000</v>
      </c>
      <c r="J847" s="4" t="n">
        <f aca="false">IFERROR(E847*I847/D847,"")</f>
        <v>504.32521060666</v>
      </c>
      <c r="K847" s="5" t="n">
        <f aca="false">IFERROR((J847-G847)/G847,"")</f>
        <v>-0.557997186146661</v>
      </c>
      <c r="L847" s="2" t="str">
        <f aca="false">IF(K847="","",IF(ABS(K847)&gt;0.05,"CHECK","OK"))</f>
        <v>CHECK</v>
      </c>
    </row>
    <row r="848" customFormat="false" ht="15" hidden="false" customHeight="false" outlineLevel="0" collapsed="false">
      <c r="A848" s="2" t="s">
        <v>50</v>
      </c>
      <c r="B848" s="2" t="n">
        <v>1998</v>
      </c>
      <c r="C848" s="2" t="s">
        <v>88</v>
      </c>
      <c r="D848" s="3" t="n">
        <v>858140</v>
      </c>
      <c r="E848" s="3" t="n">
        <v>1569790</v>
      </c>
      <c r="F848" s="2" t="s">
        <v>14</v>
      </c>
      <c r="G848" s="3" t="n">
        <v>1829</v>
      </c>
      <c r="H848" s="2" t="s">
        <v>15</v>
      </c>
      <c r="I848" s="2" t="n">
        <v>1000</v>
      </c>
      <c r="J848" s="4" t="n">
        <f aca="false">IFERROR(E848*I848/D848,"")</f>
        <v>1829.29358845876</v>
      </c>
      <c r="K848" s="5" t="n">
        <f aca="false">IFERROR((J848-G848)/G848,"")</f>
        <v>0.000160518566845045</v>
      </c>
      <c r="L848" s="2" t="str">
        <f aca="false">IF(K848="","",IF(ABS(K848)&gt;0.05,"CHECK","OK"))</f>
        <v>OK</v>
      </c>
    </row>
    <row r="849" customFormat="false" ht="15" hidden="false" customHeight="false" outlineLevel="0" collapsed="false">
      <c r="A849" s="2" t="s">
        <v>50</v>
      </c>
      <c r="B849" s="2" t="n">
        <v>1998</v>
      </c>
      <c r="C849" s="2" t="s">
        <v>89</v>
      </c>
      <c r="D849" s="3" t="n">
        <v>98824</v>
      </c>
      <c r="E849" s="3" t="n">
        <v>52510</v>
      </c>
      <c r="F849" s="2" t="s">
        <v>14</v>
      </c>
      <c r="G849" s="3" t="n">
        <v>881</v>
      </c>
      <c r="H849" s="2" t="s">
        <v>15</v>
      </c>
      <c r="I849" s="2" t="n">
        <v>1000</v>
      </c>
      <c r="J849" s="4" t="n">
        <f aca="false">IFERROR(E849*I849/D849,"")</f>
        <v>531.348660244475</v>
      </c>
      <c r="K849" s="5" t="n">
        <f aca="false">IFERROR((J849-G849)/G849,"")</f>
        <v>-0.39688006782693</v>
      </c>
      <c r="L849" s="2" t="str">
        <f aca="false">IF(K849="","",IF(ABS(K849)&gt;0.05,"CHECK","OK"))</f>
        <v>CHECK</v>
      </c>
    </row>
    <row r="850" customFormat="false" ht="15" hidden="false" customHeight="false" outlineLevel="0" collapsed="false">
      <c r="A850" s="2" t="s">
        <v>51</v>
      </c>
      <c r="B850" s="2" t="n">
        <v>1999</v>
      </c>
      <c r="C850" s="2" t="s">
        <v>88</v>
      </c>
      <c r="D850" s="3" t="n">
        <v>759309</v>
      </c>
      <c r="E850" s="3" t="n">
        <v>1318220</v>
      </c>
      <c r="F850" s="2" t="s">
        <v>14</v>
      </c>
      <c r="G850" s="3" t="n">
        <v>1736</v>
      </c>
      <c r="H850" s="2" t="s">
        <v>15</v>
      </c>
      <c r="I850" s="2" t="n">
        <v>1000</v>
      </c>
      <c r="J850" s="4" t="n">
        <f aca="false">IFERROR(E850*I850/D850,"")</f>
        <v>1736.07846081108</v>
      </c>
      <c r="K850" s="5" t="n">
        <f aca="false">IFERROR((J850-G850)/G850,"")</f>
        <v>4.51963197463101E-005</v>
      </c>
      <c r="L850" s="2" t="str">
        <f aca="false">IF(K850="","",IF(ABS(K850)&gt;0.05,"CHECK","OK"))</f>
        <v>OK</v>
      </c>
    </row>
    <row r="851" customFormat="false" ht="15" hidden="false" customHeight="false" outlineLevel="0" collapsed="false">
      <c r="A851" s="2" t="s">
        <v>51</v>
      </c>
      <c r="B851" s="2" t="n">
        <v>1999</v>
      </c>
      <c r="C851" s="2" t="s">
        <v>89</v>
      </c>
      <c r="D851" s="3" t="n">
        <v>112025</v>
      </c>
      <c r="E851" s="3" t="n">
        <v>66020</v>
      </c>
      <c r="F851" s="2" t="s">
        <v>14</v>
      </c>
      <c r="G851" s="3" t="n">
        <v>356</v>
      </c>
      <c r="H851" s="2" t="s">
        <v>15</v>
      </c>
      <c r="I851" s="2" t="n">
        <v>1000</v>
      </c>
      <c r="J851" s="4" t="n">
        <f aca="false">IFERROR(E851*I851/D851,"")</f>
        <v>589.332738228074</v>
      </c>
      <c r="K851" s="5" t="n">
        <f aca="false">IFERROR((J851-G851)/G851,"")</f>
        <v>0.6554290399665</v>
      </c>
      <c r="L851" s="2" t="str">
        <f aca="false">IF(K851="","",IF(ABS(K851)&gt;0.05,"CHECK","OK"))</f>
        <v>CHECK</v>
      </c>
    </row>
    <row r="852" customFormat="false" ht="15" hidden="false" customHeight="false" outlineLevel="0" collapsed="false">
      <c r="A852" s="2" t="s">
        <v>52</v>
      </c>
      <c r="B852" s="2" t="n">
        <v>2000</v>
      </c>
      <c r="C852" s="2" t="s">
        <v>88</v>
      </c>
      <c r="D852" s="3" t="n">
        <v>699389</v>
      </c>
      <c r="E852" s="3" t="n">
        <v>1358440</v>
      </c>
      <c r="F852" s="2" t="s">
        <v>14</v>
      </c>
      <c r="G852" s="3" t="n">
        <v>1942</v>
      </c>
      <c r="H852" s="2" t="s">
        <v>15</v>
      </c>
      <c r="I852" s="2" t="n">
        <v>1000</v>
      </c>
      <c r="J852" s="4" t="n">
        <f aca="false">IFERROR(E852*I852/D852,"")</f>
        <v>1942.32394275575</v>
      </c>
      <c r="K852" s="5" t="n">
        <f aca="false">IFERROR((J852-G852)/G852,"")</f>
        <v>0.00016680883406192</v>
      </c>
      <c r="L852" s="2" t="str">
        <f aca="false">IF(K852="","",IF(ABS(K852)&gt;0.05,"CHECK","OK"))</f>
        <v>OK</v>
      </c>
    </row>
    <row r="853" customFormat="false" ht="15" hidden="false" customHeight="false" outlineLevel="0" collapsed="false">
      <c r="A853" s="2" t="s">
        <v>52</v>
      </c>
      <c r="B853" s="2" t="n">
        <v>2000</v>
      </c>
      <c r="C853" s="2" t="s">
        <v>89</v>
      </c>
      <c r="D853" s="3" t="n">
        <v>103988</v>
      </c>
      <c r="E853" s="3" t="n">
        <v>64610</v>
      </c>
      <c r="F853" s="2" t="s">
        <v>14</v>
      </c>
      <c r="G853" s="3" t="n">
        <v>621</v>
      </c>
      <c r="H853" s="2" t="s">
        <v>15</v>
      </c>
      <c r="I853" s="2" t="n">
        <v>1000</v>
      </c>
      <c r="J853" s="4" t="n">
        <f aca="false">IFERROR(E853*I853/D853,"")</f>
        <v>621.321690964342</v>
      </c>
      <c r="K853" s="5" t="n">
        <f aca="false">IFERROR((J853-G853)/G853,"")</f>
        <v>0.000518020876557161</v>
      </c>
      <c r="L853" s="2" t="str">
        <f aca="false">IF(K853="","",IF(ABS(K853)&gt;0.05,"CHECK","OK"))</f>
        <v>OK</v>
      </c>
    </row>
    <row r="854" customFormat="false" ht="15" hidden="false" customHeight="false" outlineLevel="0" collapsed="false">
      <c r="A854" s="2" t="s">
        <v>53</v>
      </c>
      <c r="B854" s="2" t="n">
        <v>2001</v>
      </c>
      <c r="C854" s="2" t="s">
        <v>88</v>
      </c>
      <c r="D854" s="3" t="n">
        <v>662982</v>
      </c>
      <c r="E854" s="3" t="n">
        <v>1249630</v>
      </c>
      <c r="F854" s="2" t="s">
        <v>14</v>
      </c>
      <c r="G854" s="3" t="n">
        <v>1885</v>
      </c>
      <c r="H854" s="2" t="s">
        <v>15</v>
      </c>
      <c r="I854" s="2" t="n">
        <v>1000</v>
      </c>
      <c r="J854" s="4" t="n">
        <f aca="false">IFERROR(E854*I854/D854,"")</f>
        <v>1884.862635788</v>
      </c>
      <c r="K854" s="5" t="n">
        <f aca="false">IFERROR((J854-G854)/G854,"")</f>
        <v>-7.28722610078188E-005</v>
      </c>
      <c r="L854" s="2" t="str">
        <f aca="false">IF(K854="","",IF(ABS(K854)&gt;0.05,"CHECK","OK"))</f>
        <v>OK</v>
      </c>
    </row>
    <row r="855" customFormat="false" ht="15" hidden="false" customHeight="false" outlineLevel="0" collapsed="false">
      <c r="A855" s="2" t="s">
        <v>53</v>
      </c>
      <c r="B855" s="2" t="n">
        <v>2001</v>
      </c>
      <c r="C855" s="2" t="s">
        <v>89</v>
      </c>
      <c r="D855" s="3" t="n">
        <v>83848</v>
      </c>
      <c r="E855" s="3" t="n">
        <v>45990</v>
      </c>
      <c r="F855" s="2" t="s">
        <v>14</v>
      </c>
      <c r="G855" s="3" t="n">
        <v>1369</v>
      </c>
      <c r="H855" s="2" t="s">
        <v>15</v>
      </c>
      <c r="I855" s="2" t="n">
        <v>1000</v>
      </c>
      <c r="J855" s="4" t="n">
        <f aca="false">IFERROR(E855*I855/D855,"")</f>
        <v>548.492510256655</v>
      </c>
      <c r="K855" s="5" t="n">
        <f aca="false">IFERROR((J855-G855)/G855,"")</f>
        <v>-0.599348056788419</v>
      </c>
      <c r="L855" s="2" t="str">
        <f aca="false">IF(K855="","",IF(ABS(K855)&gt;0.05,"CHECK","OK"))</f>
        <v>CHECK</v>
      </c>
    </row>
    <row r="856" customFormat="false" ht="15" hidden="false" customHeight="false" outlineLevel="0" collapsed="false">
      <c r="A856" s="2" t="s">
        <v>54</v>
      </c>
      <c r="B856" s="2" t="n">
        <v>2002</v>
      </c>
      <c r="C856" s="2" t="s">
        <v>88</v>
      </c>
      <c r="D856" s="3" t="n">
        <v>502090</v>
      </c>
      <c r="E856" s="3" t="n">
        <v>717403</v>
      </c>
      <c r="F856" s="2" t="s">
        <v>14</v>
      </c>
      <c r="G856" s="3" t="n">
        <v>1429</v>
      </c>
      <c r="H856" s="2" t="s">
        <v>15</v>
      </c>
      <c r="I856" s="2" t="n">
        <v>1000</v>
      </c>
      <c r="J856" s="4" t="n">
        <f aca="false">IFERROR(E856*I856/D856,"")</f>
        <v>1428.83347607003</v>
      </c>
      <c r="K856" s="5" t="n">
        <f aca="false">IFERROR((J856-G856)/G856,"")</f>
        <v>-0.000116531791443495</v>
      </c>
      <c r="L856" s="2" t="str">
        <f aca="false">IF(K856="","",IF(ABS(K856)&gt;0.05,"CHECK","OK"))</f>
        <v>OK</v>
      </c>
    </row>
    <row r="857" customFormat="false" ht="15" hidden="false" customHeight="false" outlineLevel="0" collapsed="false">
      <c r="A857" s="2" t="s">
        <v>54</v>
      </c>
      <c r="B857" s="2" t="n">
        <v>2002</v>
      </c>
      <c r="C857" s="2" t="s">
        <v>89</v>
      </c>
      <c r="D857" s="3" t="n">
        <v>64481</v>
      </c>
      <c r="E857" s="3" t="n">
        <v>28047</v>
      </c>
      <c r="F857" s="2" t="s">
        <v>14</v>
      </c>
      <c r="G857" s="3" t="n">
        <v>641</v>
      </c>
      <c r="H857" s="2" t="s">
        <v>15</v>
      </c>
      <c r="I857" s="2" t="n">
        <v>1000</v>
      </c>
      <c r="J857" s="4" t="n">
        <f aca="false">IFERROR(E857*I857/D857,"")</f>
        <v>434.965338626882</v>
      </c>
      <c r="K857" s="5" t="n">
        <f aca="false">IFERROR((J857-G857)/G857,"")</f>
        <v>-0.321426928819216</v>
      </c>
      <c r="L857" s="2" t="str">
        <f aca="false">IF(K857="","",IF(ABS(K857)&gt;0.05,"CHECK","OK"))</f>
        <v>CHECK</v>
      </c>
    </row>
    <row r="858" customFormat="false" ht="15" hidden="false" customHeight="false" outlineLevel="0" collapsed="false">
      <c r="A858" s="2" t="s">
        <v>55</v>
      </c>
      <c r="B858" s="2" t="n">
        <v>2003</v>
      </c>
      <c r="C858" s="2" t="s">
        <v>88</v>
      </c>
      <c r="D858" s="3" t="n">
        <v>591696</v>
      </c>
      <c r="E858" s="3" t="n">
        <v>918241</v>
      </c>
      <c r="F858" s="2" t="s">
        <v>14</v>
      </c>
      <c r="G858" s="3" t="n">
        <v>1552</v>
      </c>
      <c r="H858" s="2" t="s">
        <v>15</v>
      </c>
      <c r="I858" s="2" t="n">
        <v>1000</v>
      </c>
      <c r="J858" s="4" t="n">
        <f aca="false">IFERROR(E858*I858/D858,"")</f>
        <v>1551.87968145805</v>
      </c>
      <c r="K858" s="5" t="n">
        <f aca="false">IFERROR((J858-G858)/G858,"")</f>
        <v>-7.75248337332606E-005</v>
      </c>
      <c r="L858" s="2" t="str">
        <f aca="false">IF(K858="","",IF(ABS(K858)&gt;0.05,"CHECK","OK"))</f>
        <v>OK</v>
      </c>
    </row>
    <row r="859" customFormat="false" ht="15" hidden="false" customHeight="false" outlineLevel="0" collapsed="false">
      <c r="A859" s="2" t="s">
        <v>55</v>
      </c>
      <c r="B859" s="2" t="n">
        <v>2003</v>
      </c>
      <c r="C859" s="2" t="s">
        <v>89</v>
      </c>
      <c r="D859" s="3" t="n">
        <v>83835</v>
      </c>
      <c r="E859" s="3" t="n">
        <v>29004</v>
      </c>
      <c r="F859" s="2" t="s">
        <v>14</v>
      </c>
      <c r="G859" s="3" t="n">
        <v>1838</v>
      </c>
      <c r="H859" s="2" t="s">
        <v>15</v>
      </c>
      <c r="I859" s="2" t="n">
        <v>1000</v>
      </c>
      <c r="J859" s="4" t="n">
        <f aca="false">IFERROR(E859*I859/D859,"")</f>
        <v>345.965288960458</v>
      </c>
      <c r="K859" s="5" t="n">
        <f aca="false">IFERROR((J859-G859)/G859,"")</f>
        <v>-0.811770789466563</v>
      </c>
      <c r="L859" s="2" t="str">
        <f aca="false">IF(K859="","",IF(ABS(K859)&gt;0.05,"CHECK","OK"))</f>
        <v>CHECK</v>
      </c>
    </row>
    <row r="860" customFormat="false" ht="15" hidden="false" customHeight="false" outlineLevel="0" collapsed="false">
      <c r="A860" s="2" t="s">
        <v>56</v>
      </c>
      <c r="B860" s="2" t="n">
        <v>2004</v>
      </c>
      <c r="C860" s="2" t="s">
        <v>88</v>
      </c>
      <c r="D860" s="3" t="n">
        <v>615877</v>
      </c>
      <c r="E860" s="3" t="n">
        <v>1005342</v>
      </c>
      <c r="F860" s="2" t="s">
        <v>14</v>
      </c>
      <c r="G860" s="3" t="n">
        <v>1632</v>
      </c>
      <c r="H860" s="2" t="s">
        <v>15</v>
      </c>
      <c r="I860" s="2" t="n">
        <v>1000</v>
      </c>
      <c r="J860" s="4" t="n">
        <f aca="false">IFERROR(E860*I860/D860,"")</f>
        <v>1632.37464623618</v>
      </c>
      <c r="K860" s="5" t="n">
        <f aca="false">IFERROR((J860-G860)/G860,"")</f>
        <v>0.000229562644718319</v>
      </c>
      <c r="L860" s="2" t="str">
        <f aca="false">IF(K860="","",IF(ABS(K860)&gt;0.05,"CHECK","OK"))</f>
        <v>OK</v>
      </c>
    </row>
    <row r="861" customFormat="false" ht="15" hidden="false" customHeight="false" outlineLevel="0" collapsed="false">
      <c r="A861" s="2" t="s">
        <v>56</v>
      </c>
      <c r="B861" s="2" t="n">
        <v>2004</v>
      </c>
      <c r="C861" s="2" t="s">
        <v>89</v>
      </c>
      <c r="D861" s="3" t="n">
        <v>72725</v>
      </c>
      <c r="E861" s="3" t="n">
        <v>33840</v>
      </c>
      <c r="F861" s="2" t="s">
        <v>14</v>
      </c>
      <c r="G861" s="3" t="n">
        <v>465</v>
      </c>
      <c r="H861" s="2" t="s">
        <v>15</v>
      </c>
      <c r="I861" s="2" t="n">
        <v>1000</v>
      </c>
      <c r="J861" s="4" t="n">
        <f aca="false">IFERROR(E861*I861/D861,"")</f>
        <v>465.314541079409</v>
      </c>
      <c r="K861" s="5" t="n">
        <f aca="false">IFERROR((J861-G861)/G861,"")</f>
        <v>0.000676432428836002</v>
      </c>
      <c r="L861" s="2" t="str">
        <f aca="false">IF(K861="","",IF(ABS(K861)&gt;0.05,"CHECK","OK"))</f>
        <v>OK</v>
      </c>
    </row>
    <row r="862" customFormat="false" ht="15" hidden="false" customHeight="false" outlineLevel="0" collapsed="false">
      <c r="A862" s="2" t="s">
        <v>57</v>
      </c>
      <c r="B862" s="2" t="n">
        <v>2005</v>
      </c>
      <c r="C862" s="2" t="s">
        <v>88</v>
      </c>
      <c r="D862" s="3" t="n">
        <v>618835</v>
      </c>
      <c r="E862" s="3" t="n">
        <v>1097592</v>
      </c>
      <c r="F862" s="2" t="s">
        <v>14</v>
      </c>
      <c r="G862" s="3" t="n">
        <v>1775</v>
      </c>
      <c r="H862" s="2" t="s">
        <v>15</v>
      </c>
      <c r="I862" s="2" t="n">
        <v>1000</v>
      </c>
      <c r="J862" s="4" t="n">
        <f aca="false">IFERROR(E862*I862/D862,"")</f>
        <v>1773.64240871961</v>
      </c>
      <c r="K862" s="5" t="n">
        <f aca="false">IFERROR((J862-G862)/G862,"")</f>
        <v>-0.000764840157966011</v>
      </c>
      <c r="L862" s="2" t="str">
        <f aca="false">IF(K862="","",IF(ABS(K862)&gt;0.05,"CHECK","OK"))</f>
        <v>OK</v>
      </c>
    </row>
    <row r="863" customFormat="false" ht="15" hidden="false" customHeight="false" outlineLevel="0" collapsed="false">
      <c r="A863" s="2" t="s">
        <v>57</v>
      </c>
      <c r="B863" s="2" t="n">
        <v>2005</v>
      </c>
      <c r="C863" s="2" t="s">
        <v>89</v>
      </c>
      <c r="D863" s="3" t="n">
        <v>65118</v>
      </c>
      <c r="E863" s="3" t="n">
        <v>30772</v>
      </c>
      <c r="F863" s="2" t="s">
        <v>14</v>
      </c>
      <c r="G863" s="3" t="n">
        <v>469</v>
      </c>
      <c r="H863" s="2" t="s">
        <v>15</v>
      </c>
      <c r="I863" s="2" t="n">
        <v>1000</v>
      </c>
      <c r="J863" s="4" t="n">
        <f aca="false">IFERROR(E863*I863/D863,"")</f>
        <v>472.557510980067</v>
      </c>
      <c r="K863" s="5" t="n">
        <f aca="false">IFERROR((J863-G863)/G863,"")</f>
        <v>0.00758531125813855</v>
      </c>
      <c r="L863" s="2" t="str">
        <f aca="false">IF(K863="","",IF(ABS(K863)&gt;0.05,"CHECK","OK"))</f>
        <v>OK</v>
      </c>
    </row>
    <row r="864" customFormat="false" ht="15" hidden="false" customHeight="false" outlineLevel="0" collapsed="false">
      <c r="A864" s="2" t="s">
        <v>58</v>
      </c>
      <c r="B864" s="2" t="n">
        <v>2006</v>
      </c>
      <c r="C864" s="2" t="s">
        <v>88</v>
      </c>
      <c r="D864" s="3" t="n">
        <v>508032</v>
      </c>
      <c r="E864" s="3" t="n">
        <v>1006475</v>
      </c>
      <c r="F864" s="2" t="s">
        <v>14</v>
      </c>
      <c r="G864" s="3" t="n">
        <v>1981</v>
      </c>
      <c r="H864" s="2" t="s">
        <v>15</v>
      </c>
      <c r="I864" s="2" t="n">
        <v>1000</v>
      </c>
      <c r="J864" s="4" t="n">
        <f aca="false">IFERROR(E864*I864/D864,"")</f>
        <v>1981.12520471151</v>
      </c>
      <c r="K864" s="5" t="n">
        <f aca="false">IFERROR((J864-G864)/G864,"")</f>
        <v>6.32027821879067E-005</v>
      </c>
      <c r="L864" s="2" t="str">
        <f aca="false">IF(K864="","",IF(ABS(K864)&gt;0.05,"CHECK","OK"))</f>
        <v>OK</v>
      </c>
    </row>
    <row r="865" customFormat="false" ht="15" hidden="false" customHeight="false" outlineLevel="0" collapsed="false">
      <c r="A865" s="2" t="s">
        <v>58</v>
      </c>
      <c r="B865" s="2" t="n">
        <v>2006</v>
      </c>
      <c r="C865" s="2" t="s">
        <v>89</v>
      </c>
      <c r="D865" s="3" t="n">
        <v>52624</v>
      </c>
      <c r="E865" s="3" t="n">
        <v>27328</v>
      </c>
      <c r="F865" s="2" t="s">
        <v>14</v>
      </c>
      <c r="G865" s="3" t="n">
        <v>519</v>
      </c>
      <c r="H865" s="2" t="s">
        <v>15</v>
      </c>
      <c r="I865" s="2" t="n">
        <v>1000</v>
      </c>
      <c r="J865" s="4" t="n">
        <f aca="false">IFERROR(E865*I865/D865,"")</f>
        <v>519.306780176345</v>
      </c>
      <c r="K865" s="5" t="n">
        <f aca="false">IFERROR((J865-G865)/G865,"")</f>
        <v>0.000591098605675032</v>
      </c>
      <c r="L865" s="2" t="str">
        <f aca="false">IF(K865="","",IF(ABS(K865)&gt;0.05,"CHECK","OK"))</f>
        <v>OK</v>
      </c>
    </row>
    <row r="866" customFormat="false" ht="15" hidden="false" customHeight="false" outlineLevel="0" collapsed="false">
      <c r="A866" s="2" t="s">
        <v>59</v>
      </c>
      <c r="B866" s="2" t="n">
        <v>2007</v>
      </c>
      <c r="C866" s="2" t="s">
        <v>88</v>
      </c>
      <c r="D866" s="3" t="n">
        <v>535211</v>
      </c>
      <c r="E866" s="3" t="n">
        <v>1047586</v>
      </c>
      <c r="F866" s="2" t="s">
        <v>14</v>
      </c>
      <c r="G866" s="3" t="n">
        <v>1957</v>
      </c>
      <c r="H866" s="2" t="s">
        <v>15</v>
      </c>
      <c r="I866" s="2" t="n">
        <v>1000</v>
      </c>
      <c r="J866" s="4" t="n">
        <f aca="false">IFERROR(E866*I866/D866,"")</f>
        <v>1957.33271550846</v>
      </c>
      <c r="K866" s="5" t="n">
        <f aca="false">IFERROR((J866-G866)/G866,"")</f>
        <v>0.000170013034472675</v>
      </c>
      <c r="L866" s="2" t="str">
        <f aca="false">IF(K866="","",IF(ABS(K866)&gt;0.05,"CHECK","OK"))</f>
        <v>OK</v>
      </c>
    </row>
    <row r="867" customFormat="false" ht="15" hidden="false" customHeight="false" outlineLevel="0" collapsed="false">
      <c r="A867" s="2" t="s">
        <v>59</v>
      </c>
      <c r="B867" s="2" t="n">
        <v>2007</v>
      </c>
      <c r="C867" s="2" t="s">
        <v>89</v>
      </c>
      <c r="D867" s="3" t="n">
        <v>74376</v>
      </c>
      <c r="E867" s="3" t="n">
        <v>32201</v>
      </c>
      <c r="F867" s="2" t="s">
        <v>14</v>
      </c>
      <c r="G867" s="3" t="n">
        <v>433</v>
      </c>
      <c r="H867" s="2" t="s">
        <v>15</v>
      </c>
      <c r="I867" s="2" t="n">
        <v>1000</v>
      </c>
      <c r="J867" s="4" t="n">
        <f aca="false">IFERROR(E867*I867/D867,"")</f>
        <v>432.948800688394</v>
      </c>
      <c r="K867" s="5" t="n">
        <f aca="false">IFERROR((J867-G867)/G867,"")</f>
        <v>-0.000118243213870436</v>
      </c>
      <c r="L867" s="2" t="str">
        <f aca="false">IF(K867="","",IF(ABS(K867)&gt;0.05,"CHECK","OK"))</f>
        <v>OK</v>
      </c>
    </row>
    <row r="868" customFormat="false" ht="15" hidden="false" customHeight="false" outlineLevel="0" collapsed="false">
      <c r="A868" s="2" t="s">
        <v>60</v>
      </c>
      <c r="B868" s="2" t="n">
        <v>2008</v>
      </c>
      <c r="C868" s="2" t="s">
        <v>88</v>
      </c>
      <c r="D868" s="3" t="n">
        <v>489844</v>
      </c>
      <c r="E868" s="3" t="n">
        <v>974768</v>
      </c>
      <c r="F868" s="2" t="s">
        <v>14</v>
      </c>
      <c r="G868" s="3" t="n">
        <v>1990</v>
      </c>
      <c r="H868" s="2" t="s">
        <v>15</v>
      </c>
      <c r="I868" s="2" t="n">
        <v>1000</v>
      </c>
      <c r="J868" s="4" t="n">
        <f aca="false">IFERROR(E868*I868/D868,"")</f>
        <v>1989.95598598738</v>
      </c>
      <c r="K868" s="5" t="n">
        <f aca="false">IFERROR((J868-G868)/G868,"")</f>
        <v>-2.21175942836832E-005</v>
      </c>
      <c r="L868" s="2" t="str">
        <f aca="false">IF(K868="","",IF(ABS(K868)&gt;0.05,"CHECK","OK"))</f>
        <v>OK</v>
      </c>
    </row>
    <row r="869" customFormat="false" ht="15" hidden="false" customHeight="false" outlineLevel="0" collapsed="false">
      <c r="A869" s="2" t="s">
        <v>60</v>
      </c>
      <c r="B869" s="2" t="n">
        <v>2008</v>
      </c>
      <c r="C869" s="2" t="s">
        <v>89</v>
      </c>
      <c r="D869" s="3" t="n">
        <v>63693</v>
      </c>
      <c r="E869" s="3" t="n">
        <v>32242</v>
      </c>
      <c r="F869" s="2" t="s">
        <v>14</v>
      </c>
      <c r="G869" s="3" t="n">
        <v>506</v>
      </c>
      <c r="H869" s="2" t="s">
        <v>15</v>
      </c>
      <c r="I869" s="2" t="n">
        <v>1000</v>
      </c>
      <c r="J869" s="4" t="n">
        <f aca="false">IFERROR(E869*I869/D869,"")</f>
        <v>506.209473568524</v>
      </c>
      <c r="K869" s="5" t="n">
        <f aca="false">IFERROR((J869-G869)/G869,"")</f>
        <v>0.00041397938443479</v>
      </c>
      <c r="L869" s="2" t="str">
        <f aca="false">IF(K869="","",IF(ABS(K869)&gt;0.05,"CHECK","OK"))</f>
        <v>OK</v>
      </c>
    </row>
    <row r="870" customFormat="false" ht="15" hidden="false" customHeight="false" outlineLevel="0" collapsed="false">
      <c r="A870" s="2" t="s">
        <v>61</v>
      </c>
      <c r="B870" s="2" t="n">
        <v>2009</v>
      </c>
      <c r="C870" s="2" t="s">
        <v>88</v>
      </c>
      <c r="D870" s="3" t="n">
        <v>413011</v>
      </c>
      <c r="E870" s="3" t="n">
        <v>895718</v>
      </c>
      <c r="F870" s="2" t="s">
        <v>14</v>
      </c>
      <c r="G870" s="3" t="n">
        <v>2169</v>
      </c>
      <c r="H870" s="2" t="s">
        <v>15</v>
      </c>
      <c r="I870" s="2" t="n">
        <v>1000</v>
      </c>
      <c r="J870" s="4" t="n">
        <f aca="false">IFERROR(E870*I870/D870,"")</f>
        <v>2168.75095336444</v>
      </c>
      <c r="K870" s="5" t="n">
        <f aca="false">IFERROR((J870-G870)/G870,"")</f>
        <v>-0.00011482094770015</v>
      </c>
      <c r="L870" s="2" t="str">
        <f aca="false">IF(K870="","",IF(ABS(K870)&gt;0.05,"CHECK","OK"))</f>
        <v>OK</v>
      </c>
    </row>
    <row r="871" customFormat="false" ht="15" hidden="false" customHeight="false" outlineLevel="0" collapsed="false">
      <c r="A871" s="2" t="s">
        <v>61</v>
      </c>
      <c r="B871" s="2" t="n">
        <v>2009</v>
      </c>
      <c r="C871" s="2" t="s">
        <v>89</v>
      </c>
      <c r="D871" s="3" t="n">
        <v>62677</v>
      </c>
      <c r="E871" s="3" t="n">
        <v>29021</v>
      </c>
      <c r="F871" s="2" t="s">
        <v>14</v>
      </c>
      <c r="G871" s="3" t="n">
        <v>463</v>
      </c>
      <c r="H871" s="2" t="s">
        <v>15</v>
      </c>
      <c r="I871" s="2" t="n">
        <v>1000</v>
      </c>
      <c r="J871" s="4" t="n">
        <f aca="false">IFERROR(E871*I871/D871,"")</f>
        <v>463.024714009924</v>
      </c>
      <c r="K871" s="5" t="n">
        <f aca="false">IFERROR((J871-G871)/G871,"")</f>
        <v>5.33779911963538E-005</v>
      </c>
      <c r="L871" s="2" t="str">
        <f aca="false">IF(K871="","",IF(ABS(K871)&gt;0.05,"CHECK","OK"))</f>
        <v>OK</v>
      </c>
    </row>
    <row r="872" customFormat="false" ht="15" hidden="false" customHeight="false" outlineLevel="0" collapsed="false">
      <c r="A872" s="2" t="s">
        <v>62</v>
      </c>
      <c r="B872" s="2" t="n">
        <v>2010</v>
      </c>
      <c r="C872" s="2" t="s">
        <v>88</v>
      </c>
      <c r="D872" s="3" t="n">
        <v>385509</v>
      </c>
      <c r="E872" s="3" t="n">
        <v>895638</v>
      </c>
      <c r="F872" s="2" t="s">
        <v>14</v>
      </c>
      <c r="G872" s="3" t="n">
        <v>2323</v>
      </c>
      <c r="H872" s="2" t="s">
        <v>15</v>
      </c>
      <c r="I872" s="2" t="n">
        <v>1000</v>
      </c>
      <c r="J872" s="4" t="n">
        <f aca="false">IFERROR(E872*I872/D872,"")</f>
        <v>2323.26093554236</v>
      </c>
      <c r="K872" s="5" t="n">
        <f aca="false">IFERROR((J872-G872)/G872,"")</f>
        <v>0.000112326966147671</v>
      </c>
      <c r="L872" s="2" t="str">
        <f aca="false">IF(K872="","",IF(ABS(K872)&gt;0.05,"CHECK","OK"))</f>
        <v>OK</v>
      </c>
    </row>
    <row r="873" customFormat="false" ht="15" hidden="false" customHeight="false" outlineLevel="0" collapsed="false">
      <c r="A873" s="2" t="s">
        <v>62</v>
      </c>
      <c r="B873" s="2" t="n">
        <v>2010</v>
      </c>
      <c r="C873" s="2" t="s">
        <v>89</v>
      </c>
      <c r="D873" s="3" t="n">
        <v>48189</v>
      </c>
      <c r="E873" s="3" t="n">
        <v>25387</v>
      </c>
      <c r="F873" s="2" t="s">
        <v>14</v>
      </c>
      <c r="G873" s="3" t="n">
        <v>527</v>
      </c>
      <c r="H873" s="2" t="s">
        <v>15</v>
      </c>
      <c r="I873" s="2" t="n">
        <v>1000</v>
      </c>
      <c r="J873" s="4" t="n">
        <f aca="false">IFERROR(E873*I873/D873,"")</f>
        <v>526.821473780323</v>
      </c>
      <c r="K873" s="5" t="n">
        <f aca="false">IFERROR((J873-G873)/G873,"")</f>
        <v>-0.000338759430126481</v>
      </c>
      <c r="L873" s="2" t="str">
        <f aca="false">IF(K873="","",IF(ABS(K873)&gt;0.05,"CHECK","OK"))</f>
        <v>OK</v>
      </c>
    </row>
    <row r="874" customFormat="false" ht="15" hidden="false" customHeight="false" outlineLevel="0" collapsed="false">
      <c r="A874" s="2" t="s">
        <v>63</v>
      </c>
      <c r="B874" s="2" t="n">
        <v>2011</v>
      </c>
      <c r="C874" s="2" t="s">
        <v>88</v>
      </c>
      <c r="D874" s="3" t="n">
        <v>385612</v>
      </c>
      <c r="E874" s="3" t="n">
        <v>1060654</v>
      </c>
      <c r="F874" s="2" t="s">
        <v>14</v>
      </c>
      <c r="G874" s="3" t="n">
        <v>2751</v>
      </c>
      <c r="H874" s="2" t="s">
        <v>15</v>
      </c>
      <c r="I874" s="2" t="n">
        <v>1000</v>
      </c>
      <c r="J874" s="4" t="n">
        <f aca="false">IFERROR(E874*I874/D874,"")</f>
        <v>2750.57311494456</v>
      </c>
      <c r="K874" s="5" t="n">
        <f aca="false">IFERROR((J874-G874)/G874,"")</f>
        <v>-0.000155174502160841</v>
      </c>
      <c r="L874" s="2" t="str">
        <f aca="false">IF(K874="","",IF(ABS(K874)&gt;0.05,"CHECK","OK"))</f>
        <v>OK</v>
      </c>
    </row>
    <row r="875" customFormat="false" ht="15" hidden="false" customHeight="false" outlineLevel="0" collapsed="false">
      <c r="A875" s="2" t="s">
        <v>63</v>
      </c>
      <c r="B875" s="2" t="n">
        <v>2011</v>
      </c>
      <c r="C875" s="2" t="s">
        <v>89</v>
      </c>
      <c r="D875" s="3" t="n">
        <v>43175</v>
      </c>
      <c r="E875" s="3" t="n">
        <v>26447</v>
      </c>
      <c r="F875" s="2" t="s">
        <v>14</v>
      </c>
      <c r="G875" s="3" t="n">
        <v>613</v>
      </c>
      <c r="H875" s="2" t="s">
        <v>15</v>
      </c>
      <c r="I875" s="2" t="n">
        <v>1000</v>
      </c>
      <c r="J875" s="4" t="n">
        <f aca="false">IFERROR(E875*I875/D875,"")</f>
        <v>612.553561088593</v>
      </c>
      <c r="K875" s="5" t="n">
        <f aca="false">IFERROR((J875-G875)/G875,"")</f>
        <v>-0.00072828533671629</v>
      </c>
      <c r="L875" s="2" t="str">
        <f aca="false">IF(K875="","",IF(ABS(K875)&gt;0.05,"CHECK","OK"))</f>
        <v>OK</v>
      </c>
    </row>
    <row r="876" customFormat="false" ht="15" hidden="false" customHeight="false" outlineLevel="0" collapsed="false">
      <c r="A876" s="2" t="s">
        <v>64</v>
      </c>
      <c r="B876" s="2" t="n">
        <v>2012</v>
      </c>
      <c r="C876" s="2" t="s">
        <v>88</v>
      </c>
      <c r="D876" s="3" t="n">
        <v>339361</v>
      </c>
      <c r="E876" s="3" t="n">
        <v>786362</v>
      </c>
      <c r="F876" s="2" t="s">
        <v>14</v>
      </c>
      <c r="G876" s="3" t="n">
        <v>2314</v>
      </c>
      <c r="H876" s="2" t="s">
        <v>15</v>
      </c>
      <c r="I876" s="2" t="n">
        <v>1000</v>
      </c>
      <c r="J876" s="4" t="n">
        <f aca="false">IFERROR(E876*I876/D876,"")</f>
        <v>2317.18435530306</v>
      </c>
      <c r="K876" s="5" t="n">
        <f aca="false">IFERROR((J876-G876)/G876,"")</f>
        <v>0.00137612588723201</v>
      </c>
      <c r="L876" s="2" t="str">
        <f aca="false">IF(K876="","",IF(ABS(K876)&gt;0.05,"CHECK","OK"))</f>
        <v>OK</v>
      </c>
    </row>
    <row r="877" customFormat="false" ht="15" hidden="false" customHeight="false" outlineLevel="0" collapsed="false">
      <c r="A877" s="2" t="s">
        <v>64</v>
      </c>
      <c r="B877" s="2" t="n">
        <v>2012</v>
      </c>
      <c r="C877" s="2" t="s">
        <v>89</v>
      </c>
      <c r="D877" s="3" t="n">
        <v>33181</v>
      </c>
      <c r="E877" s="3" t="n">
        <v>17179</v>
      </c>
      <c r="F877" s="2" t="s">
        <v>14</v>
      </c>
      <c r="G877" s="3" t="n">
        <v>518</v>
      </c>
      <c r="H877" s="2" t="s">
        <v>15</v>
      </c>
      <c r="I877" s="2" t="n">
        <v>1000</v>
      </c>
      <c r="J877" s="4" t="n">
        <f aca="false">IFERROR(E877*I877/D877,"")</f>
        <v>517.736053765709</v>
      </c>
      <c r="K877" s="5" t="n">
        <f aca="false">IFERROR((J877-G877)/G877,"")</f>
        <v>-0.00050954871484702</v>
      </c>
      <c r="L877" s="2" t="str">
        <f aca="false">IF(K877="","",IF(ABS(K877)&gt;0.05,"CHECK","OK"))</f>
        <v>OK</v>
      </c>
    </row>
    <row r="878" customFormat="false" ht="15" hidden="false" customHeight="false" outlineLevel="0" collapsed="false">
      <c r="A878" s="2" t="s">
        <v>65</v>
      </c>
      <c r="B878" s="2" t="n">
        <v>2013</v>
      </c>
      <c r="C878" s="2" t="s">
        <v>88</v>
      </c>
      <c r="D878" s="3" t="n">
        <v>336621</v>
      </c>
      <c r="E878" s="3" t="n">
        <v>915884</v>
      </c>
      <c r="F878" s="2" t="s">
        <v>14</v>
      </c>
      <c r="G878" s="3" t="n">
        <v>2721</v>
      </c>
      <c r="H878" s="2" t="s">
        <v>15</v>
      </c>
      <c r="I878" s="2" t="n">
        <v>1000</v>
      </c>
      <c r="J878" s="4" t="n">
        <f aca="false">IFERROR(E878*I878/D878,"")</f>
        <v>2720.81658601216</v>
      </c>
      <c r="K878" s="5" t="n">
        <f aca="false">IFERROR((J878-G878)/G878,"")</f>
        <v>-6.74068312524316E-005</v>
      </c>
      <c r="L878" s="2" t="str">
        <f aca="false">IF(K878="","",IF(ABS(K878)&gt;0.05,"CHECK","OK"))</f>
        <v>OK</v>
      </c>
    </row>
    <row r="879" customFormat="false" ht="15" hidden="false" customHeight="false" outlineLevel="0" collapsed="false">
      <c r="A879" s="2" t="s">
        <v>65</v>
      </c>
      <c r="B879" s="2" t="n">
        <v>2013</v>
      </c>
      <c r="C879" s="2" t="s">
        <v>89</v>
      </c>
      <c r="D879" s="3" t="n">
        <v>56591</v>
      </c>
      <c r="E879" s="3" t="n">
        <v>33708</v>
      </c>
      <c r="F879" s="2" t="s">
        <v>14</v>
      </c>
      <c r="G879" s="3" t="n">
        <v>596</v>
      </c>
      <c r="H879" s="2" t="s">
        <v>15</v>
      </c>
      <c r="I879" s="2" t="n">
        <v>1000</v>
      </c>
      <c r="J879" s="4" t="n">
        <f aca="false">IFERROR(E879*I879/D879,"")</f>
        <v>595.642416638688</v>
      </c>
      <c r="K879" s="5" t="n">
        <f aca="false">IFERROR((J879-G879)/G879,"")</f>
        <v>-0.000599972082738033</v>
      </c>
      <c r="L879" s="2" t="str">
        <f aca="false">IF(K879="","",IF(ABS(K879)&gt;0.05,"CHECK","OK"))</f>
        <v>OK</v>
      </c>
    </row>
    <row r="880" customFormat="false" ht="15" hidden="false" customHeight="false" outlineLevel="0" collapsed="false">
      <c r="A880" s="2" t="s">
        <v>66</v>
      </c>
      <c r="B880" s="2" t="n">
        <v>2014</v>
      </c>
      <c r="C880" s="2" t="s">
        <v>88</v>
      </c>
      <c r="D880" s="3" t="n">
        <v>336514</v>
      </c>
      <c r="E880" s="3" t="n">
        <v>925182</v>
      </c>
      <c r="F880" s="2" t="s">
        <v>14</v>
      </c>
      <c r="G880" s="3" t="n">
        <v>2753</v>
      </c>
      <c r="H880" s="2" t="s">
        <v>15</v>
      </c>
      <c r="I880" s="2" t="n">
        <v>1000</v>
      </c>
      <c r="J880" s="4" t="n">
        <f aca="false">IFERROR(E880*I880/D880,"")</f>
        <v>2749.31206428262</v>
      </c>
      <c r="K880" s="5" t="n">
        <f aca="false">IFERROR((J880-G880)/G880,"")</f>
        <v>-0.00133960614507257</v>
      </c>
      <c r="L880" s="2" t="str">
        <f aca="false">IF(K880="","",IF(ABS(K880)&gt;0.05,"CHECK","OK"))</f>
        <v>OK</v>
      </c>
    </row>
    <row r="881" customFormat="false" ht="15" hidden="false" customHeight="false" outlineLevel="0" collapsed="false">
      <c r="A881" s="2" t="s">
        <v>66</v>
      </c>
      <c r="B881" s="2" t="n">
        <v>2014</v>
      </c>
      <c r="C881" s="2" t="s">
        <v>89</v>
      </c>
      <c r="D881" s="3" t="n">
        <v>64242</v>
      </c>
      <c r="E881" s="3" t="n">
        <v>44748</v>
      </c>
      <c r="F881" s="2" t="s">
        <v>14</v>
      </c>
      <c r="G881" s="3" t="n">
        <v>697</v>
      </c>
      <c r="H881" s="2" t="s">
        <v>15</v>
      </c>
      <c r="I881" s="2" t="n">
        <v>1000</v>
      </c>
      <c r="J881" s="4" t="n">
        <f aca="false">IFERROR(E881*I881/D881,"")</f>
        <v>696.553656486411</v>
      </c>
      <c r="K881" s="5" t="n">
        <f aca="false">IFERROR((J881-G881)/G881,"")</f>
        <v>-0.000640378068277227</v>
      </c>
      <c r="L881" s="2" t="str">
        <f aca="false">IF(K881="","",IF(ABS(K881)&gt;0.05,"CHECK","OK"))</f>
        <v>OK</v>
      </c>
    </row>
    <row r="882" customFormat="false" ht="15" hidden="false" customHeight="false" outlineLevel="0" collapsed="false">
      <c r="A882" s="2" t="s">
        <v>67</v>
      </c>
      <c r="B882" s="2" t="n">
        <v>2015</v>
      </c>
      <c r="C882" s="2" t="s">
        <v>88</v>
      </c>
      <c r="D882" s="3" t="n">
        <v>346611</v>
      </c>
      <c r="E882" s="3" t="n">
        <v>892280</v>
      </c>
      <c r="F882" s="2" t="s">
        <v>14</v>
      </c>
      <c r="G882" s="3" t="n">
        <v>2574</v>
      </c>
      <c r="H882" s="2" t="s">
        <v>15</v>
      </c>
      <c r="I882" s="2" t="n">
        <v>1000</v>
      </c>
      <c r="J882" s="4" t="n">
        <f aca="false">IFERROR(E882*I882/D882,"")</f>
        <v>2574.29798823465</v>
      </c>
      <c r="K882" s="5" t="n">
        <f aca="false">IFERROR((J882-G882)/G882,"")</f>
        <v>0.000115768544929852</v>
      </c>
      <c r="L882" s="2" t="str">
        <f aca="false">IF(K882="","",IF(ABS(K882)&gt;0.05,"CHECK","OK"))</f>
        <v>OK</v>
      </c>
    </row>
    <row r="883" customFormat="false" ht="15" hidden="false" customHeight="false" outlineLevel="0" collapsed="false">
      <c r="A883" s="2" t="s">
        <v>67</v>
      </c>
      <c r="B883" s="2" t="n">
        <v>2015</v>
      </c>
      <c r="C883" s="2" t="s">
        <v>89</v>
      </c>
      <c r="D883" s="3" t="n">
        <v>46017</v>
      </c>
      <c r="E883" s="3" t="n">
        <v>29369</v>
      </c>
      <c r="F883" s="2" t="s">
        <v>14</v>
      </c>
      <c r="G883" s="3" t="n">
        <v>638</v>
      </c>
      <c r="H883" s="2" t="s">
        <v>15</v>
      </c>
      <c r="I883" s="2" t="n">
        <v>1000</v>
      </c>
      <c r="J883" s="4" t="n">
        <f aca="false">IFERROR(E883*I883/D883,"")</f>
        <v>638.220657583067</v>
      </c>
      <c r="K883" s="5" t="n">
        <f aca="false">IFERROR((J883-G883)/G883,"")</f>
        <v>0.000345858280669471</v>
      </c>
      <c r="L883" s="2" t="str">
        <f aca="false">IF(K883="","",IF(ABS(K883)&gt;0.05,"CHECK","OK"))</f>
        <v>OK</v>
      </c>
    </row>
    <row r="884" customFormat="false" ht="15" hidden="false" customHeight="false" outlineLevel="0" collapsed="false">
      <c r="A884" s="2" t="s">
        <v>68</v>
      </c>
      <c r="B884" s="2" t="n">
        <v>2016</v>
      </c>
      <c r="C884" s="2" t="s">
        <v>88</v>
      </c>
      <c r="D884" s="3" t="n">
        <v>282488</v>
      </c>
      <c r="E884" s="3" t="n">
        <v>588854</v>
      </c>
      <c r="F884" s="2" t="s">
        <v>14</v>
      </c>
      <c r="G884" s="3" t="n">
        <v>2085</v>
      </c>
      <c r="H884" s="2" t="s">
        <v>15</v>
      </c>
      <c r="I884" s="2" t="n">
        <v>1000</v>
      </c>
      <c r="J884" s="4" t="n">
        <f aca="false">IFERROR(E884*I884/D884,"")</f>
        <v>2084.52748435332</v>
      </c>
      <c r="K884" s="5" t="n">
        <f aca="false">IFERROR((J884-G884)/G884,"")</f>
        <v>-0.000226626209440046</v>
      </c>
      <c r="L884" s="2" t="str">
        <f aca="false">IF(K884="","",IF(ABS(K884)&gt;0.05,"CHECK","OK"))</f>
        <v>OK</v>
      </c>
    </row>
    <row r="885" customFormat="false" ht="15" hidden="false" customHeight="false" outlineLevel="0" collapsed="false">
      <c r="A885" s="2" t="s">
        <v>68</v>
      </c>
      <c r="B885" s="2" t="n">
        <v>2016</v>
      </c>
      <c r="C885" s="2" t="s">
        <v>89</v>
      </c>
      <c r="D885" s="3" t="n">
        <v>28231</v>
      </c>
      <c r="E885" s="3" t="n">
        <v>10837</v>
      </c>
      <c r="F885" s="2" t="s">
        <v>14</v>
      </c>
      <c r="G885" s="3" t="n">
        <v>384</v>
      </c>
      <c r="H885" s="2" t="s">
        <v>15</v>
      </c>
      <c r="I885" s="2" t="n">
        <v>1000</v>
      </c>
      <c r="J885" s="4" t="n">
        <f aca="false">IFERROR(E885*I885/D885,"")</f>
        <v>383.868796712833</v>
      </c>
      <c r="K885" s="5" t="n">
        <f aca="false">IFERROR((J885-G885)/G885,"")</f>
        <v>-0.000341675226996389</v>
      </c>
      <c r="L885" s="2" t="str">
        <f aca="false">IF(K885="","",IF(ABS(K885)&gt;0.05,"CHECK","OK"))</f>
        <v>OK</v>
      </c>
    </row>
    <row r="886" customFormat="false" ht="15" hidden="false" customHeight="false" outlineLevel="0" collapsed="false">
      <c r="A886" s="2" t="s">
        <v>69</v>
      </c>
      <c r="B886" s="2" t="n">
        <v>2017</v>
      </c>
      <c r="C886" s="2" t="s">
        <v>88</v>
      </c>
      <c r="D886" s="3" t="n">
        <v>327352</v>
      </c>
      <c r="E886" s="3" t="n">
        <v>1007452</v>
      </c>
      <c r="F886" s="2" t="s">
        <v>14</v>
      </c>
      <c r="G886" s="3" t="n">
        <v>3078</v>
      </c>
      <c r="H886" s="2" t="s">
        <v>15</v>
      </c>
      <c r="I886" s="2" t="n">
        <v>1000</v>
      </c>
      <c r="J886" s="4" t="n">
        <f aca="false">IFERROR(E886*I886/D886,"")</f>
        <v>3077.58009726533</v>
      </c>
      <c r="K886" s="5" t="n">
        <f aca="false">IFERROR((J886-G886)/G886,"")</f>
        <v>-0.000136420641543474</v>
      </c>
      <c r="L886" s="2" t="str">
        <f aca="false">IF(K886="","",IF(ABS(K886)&gt;0.05,"CHECK","OK"))</f>
        <v>OK</v>
      </c>
    </row>
    <row r="887" customFormat="false" ht="15" hidden="false" customHeight="false" outlineLevel="0" collapsed="false">
      <c r="A887" s="2" t="s">
        <v>69</v>
      </c>
      <c r="B887" s="2" t="n">
        <v>2017</v>
      </c>
      <c r="C887" s="2" t="s">
        <v>89</v>
      </c>
      <c r="D887" s="3" t="n">
        <v>41582</v>
      </c>
      <c r="E887" s="3" t="n">
        <v>23054</v>
      </c>
      <c r="F887" s="2" t="s">
        <v>14</v>
      </c>
      <c r="G887" s="3" t="n">
        <v>555</v>
      </c>
      <c r="H887" s="2" t="s">
        <v>15</v>
      </c>
      <c r="I887" s="2" t="n">
        <v>1000</v>
      </c>
      <c r="J887" s="4" t="n">
        <f aca="false">IFERROR(E887*I887/D887,"")</f>
        <v>554.422586696167</v>
      </c>
      <c r="K887" s="5" t="n">
        <f aca="false">IFERROR((J887-G887)/G887,"")</f>
        <v>-0.00104038433123134</v>
      </c>
      <c r="L887" s="2" t="str">
        <f aca="false">IF(K887="","",IF(ABS(K887)&gt;0.05,"CHECK","OK"))</f>
        <v>OK</v>
      </c>
    </row>
    <row r="888" customFormat="false" ht="15" hidden="false" customHeight="false" outlineLevel="0" collapsed="false">
      <c r="A888" s="2" t="s">
        <v>70</v>
      </c>
      <c r="B888" s="2" t="n">
        <v>2018</v>
      </c>
      <c r="C888" s="2" t="s">
        <v>88</v>
      </c>
      <c r="D888" s="3" t="n">
        <v>335495</v>
      </c>
      <c r="E888" s="3" t="n">
        <v>911240</v>
      </c>
      <c r="F888" s="2" t="s">
        <v>14</v>
      </c>
      <c r="G888" s="3" t="n">
        <v>2716</v>
      </c>
      <c r="H888" s="2" t="s">
        <v>15</v>
      </c>
      <c r="I888" s="2" t="n">
        <v>1000</v>
      </c>
      <c r="J888" s="4" t="n">
        <f aca="false">IFERROR(E888*I888/D888,"")</f>
        <v>2716.10605225115</v>
      </c>
      <c r="K888" s="5" t="n">
        <f aca="false">IFERROR((J888-G888)/G888,"")</f>
        <v>3.90472206005673E-005</v>
      </c>
      <c r="L888" s="2" t="str">
        <f aca="false">IF(K888="","",IF(ABS(K888)&gt;0.05,"CHECK","OK"))</f>
        <v>OK</v>
      </c>
    </row>
    <row r="889" customFormat="false" ht="15" hidden="false" customHeight="false" outlineLevel="0" collapsed="false">
      <c r="A889" s="2" t="s">
        <v>70</v>
      </c>
      <c r="B889" s="2" t="n">
        <v>2018</v>
      </c>
      <c r="C889" s="2" t="s">
        <v>89</v>
      </c>
      <c r="D889" s="3" t="n">
        <v>44610</v>
      </c>
      <c r="E889" s="3" t="n">
        <v>24422</v>
      </c>
      <c r="F889" s="2" t="s">
        <v>14</v>
      </c>
      <c r="G889" s="3" t="n">
        <v>548</v>
      </c>
      <c r="H889" s="2" t="s">
        <v>15</v>
      </c>
      <c r="I889" s="2" t="n">
        <v>1000</v>
      </c>
      <c r="J889" s="4" t="n">
        <f aca="false">IFERROR(E889*I889/D889,"")</f>
        <v>547.455727415378</v>
      </c>
      <c r="K889" s="5" t="n">
        <f aca="false">IFERROR((J889-G889)/G889,"")</f>
        <v>-0.000993198147120918</v>
      </c>
      <c r="L889" s="2" t="str">
        <f aca="false">IF(K889="","",IF(ABS(K889)&gt;0.05,"CHECK","OK"))</f>
        <v>OK</v>
      </c>
    </row>
    <row r="890" customFormat="false" ht="15" hidden="false" customHeight="false" outlineLevel="0" collapsed="false">
      <c r="A890" s="2" t="s">
        <v>71</v>
      </c>
      <c r="B890" s="2" t="n">
        <v>2019</v>
      </c>
      <c r="C890" s="2" t="s">
        <v>88</v>
      </c>
      <c r="D890" s="3" t="n">
        <v>346643</v>
      </c>
      <c r="E890" s="3" t="n">
        <v>1032903</v>
      </c>
      <c r="F890" s="2" t="s">
        <v>14</v>
      </c>
      <c r="G890" s="3" t="n">
        <v>2980</v>
      </c>
      <c r="H890" s="2" t="s">
        <v>15</v>
      </c>
      <c r="I890" s="2" t="n">
        <v>1000</v>
      </c>
      <c r="J890" s="4" t="n">
        <f aca="false">IFERROR(E890*I890/D890,"")</f>
        <v>2979.73130857972</v>
      </c>
      <c r="K890" s="5" t="n">
        <f aca="false">IFERROR((J890-G890)/G890,"")</f>
        <v>-9.01649061340731E-005</v>
      </c>
      <c r="L890" s="2" t="str">
        <f aca="false">IF(K890="","",IF(ABS(K890)&gt;0.05,"CHECK","OK"))</f>
        <v>OK</v>
      </c>
    </row>
    <row r="891" customFormat="false" ht="15" hidden="false" customHeight="false" outlineLevel="0" collapsed="false">
      <c r="A891" s="2" t="s">
        <v>71</v>
      </c>
      <c r="B891" s="2" t="n">
        <v>2019</v>
      </c>
      <c r="C891" s="2" t="s">
        <v>89</v>
      </c>
      <c r="D891" s="3" t="n">
        <v>53018</v>
      </c>
      <c r="E891" s="3" t="n">
        <v>36481</v>
      </c>
      <c r="F891" s="2" t="s">
        <v>14</v>
      </c>
      <c r="G891" s="3" t="n">
        <v>688</v>
      </c>
      <c r="H891" s="2" t="s">
        <v>15</v>
      </c>
      <c r="I891" s="2" t="n">
        <v>1000</v>
      </c>
      <c r="J891" s="4" t="n">
        <f aca="false">IFERROR(E891*I891/D891,"")</f>
        <v>688.087064770455</v>
      </c>
      <c r="K891" s="5" t="n">
        <f aca="false">IFERROR((J891-G891)/G891,"")</f>
        <v>0.000126547631475726</v>
      </c>
      <c r="L891" s="2" t="str">
        <f aca="false">IF(K891="","",IF(ABS(K891)&gt;0.05,"CHECK","OK"))</f>
        <v>OK</v>
      </c>
    </row>
    <row r="892" customFormat="false" ht="15" hidden="false" customHeight="false" outlineLevel="0" collapsed="false">
      <c r="A892" s="2" t="s">
        <v>72</v>
      </c>
      <c r="B892" s="2" t="n">
        <v>2020</v>
      </c>
      <c r="C892" s="2" t="s">
        <v>88</v>
      </c>
      <c r="D892" s="3" t="n">
        <v>409027</v>
      </c>
      <c r="E892" s="3" t="n">
        <v>1023404</v>
      </c>
      <c r="F892" s="2" t="s">
        <v>14</v>
      </c>
      <c r="G892" s="3" t="n">
        <v>2502</v>
      </c>
      <c r="H892" s="2" t="s">
        <v>15</v>
      </c>
      <c r="I892" s="2" t="n">
        <v>1000</v>
      </c>
      <c r="J892" s="4" t="n">
        <f aca="false">IFERROR(E892*I892/D892,"")</f>
        <v>2502.04509726742</v>
      </c>
      <c r="K892" s="5" t="n">
        <f aca="false">IFERROR((J892-G892)/G892,"")</f>
        <v>1.8024487377111E-005</v>
      </c>
      <c r="L892" s="2" t="str">
        <f aca="false">IF(K892="","",IF(ABS(K892)&gt;0.05,"CHECK","OK"))</f>
        <v>OK</v>
      </c>
    </row>
    <row r="893" customFormat="false" ht="15" hidden="false" customHeight="false" outlineLevel="0" collapsed="false">
      <c r="A893" s="2" t="s">
        <v>72</v>
      </c>
      <c r="B893" s="2" t="n">
        <v>2020</v>
      </c>
      <c r="C893" s="2" t="s">
        <v>89</v>
      </c>
      <c r="D893" s="3" t="n">
        <v>52686</v>
      </c>
      <c r="E893" s="3" t="n">
        <v>34449</v>
      </c>
      <c r="F893" s="2" t="s">
        <v>14</v>
      </c>
      <c r="G893" s="3" t="n">
        <v>654</v>
      </c>
      <c r="H893" s="2" t="s">
        <v>15</v>
      </c>
      <c r="I893" s="2" t="n">
        <v>1000</v>
      </c>
      <c r="J893" s="4" t="n">
        <f aca="false">IFERROR(E893*I893/D893,"")</f>
        <v>653.854914018904</v>
      </c>
      <c r="K893" s="5" t="n">
        <f aca="false">IFERROR((J893-G893)/G893,"")</f>
        <v>-0.000221844007791401</v>
      </c>
      <c r="L893" s="2" t="str">
        <f aca="false">IF(K893="","",IF(ABS(K893)&gt;0.05,"CHECK","OK"))</f>
        <v>OK</v>
      </c>
    </row>
    <row r="894" customFormat="false" ht="15" hidden="false" customHeight="false" outlineLevel="0" collapsed="false">
      <c r="A894" s="2" t="s">
        <v>73</v>
      </c>
      <c r="B894" s="2" t="n">
        <v>2021</v>
      </c>
      <c r="C894" s="2" t="s">
        <v>88</v>
      </c>
      <c r="D894" s="3" t="n">
        <v>372399</v>
      </c>
      <c r="E894" s="3" t="n">
        <v>1047221</v>
      </c>
      <c r="F894" s="2" t="s">
        <v>14</v>
      </c>
      <c r="G894" s="3" t="n">
        <v>2812</v>
      </c>
      <c r="H894" s="2" t="s">
        <v>15</v>
      </c>
      <c r="I894" s="2" t="n">
        <v>1000</v>
      </c>
      <c r="J894" s="4" t="n">
        <f aca="false">IFERROR(E894*I894/D894,"")</f>
        <v>2812.09401743829</v>
      </c>
      <c r="K894" s="5" t="n">
        <f aca="false">IFERROR((J894-G894)/G894,"")</f>
        <v>3.34343663888304E-005</v>
      </c>
      <c r="L894" s="2" t="str">
        <f aca="false">IF(K894="","",IF(ABS(K894)&gt;0.05,"CHECK","OK"))</f>
        <v>OK</v>
      </c>
    </row>
    <row r="895" customFormat="false" ht="15" hidden="false" customHeight="false" outlineLevel="0" collapsed="false">
      <c r="A895" s="2" t="s">
        <v>73</v>
      </c>
      <c r="B895" s="2" t="n">
        <v>2021</v>
      </c>
      <c r="C895" s="2" t="s">
        <v>89</v>
      </c>
      <c r="D895" s="3" t="n">
        <v>47467</v>
      </c>
      <c r="E895" s="3" t="n">
        <v>27947</v>
      </c>
      <c r="F895" s="2" t="s">
        <v>14</v>
      </c>
      <c r="G895" s="3" t="n">
        <v>589</v>
      </c>
      <c r="H895" s="2" t="s">
        <v>15</v>
      </c>
      <c r="I895" s="2" t="n">
        <v>1000</v>
      </c>
      <c r="J895" s="4" t="n">
        <f aca="false">IFERROR(E895*I895/D895,"")</f>
        <v>588.766932816483</v>
      </c>
      <c r="K895" s="5" t="n">
        <f aca="false">IFERROR((J895-G895)/G895,"")</f>
        <v>-0.000395699802235886</v>
      </c>
      <c r="L895" s="2" t="str">
        <f aca="false">IF(K895="","",IF(ABS(K895)&gt;0.05,"CHECK","OK"))</f>
        <v>OK</v>
      </c>
    </row>
    <row r="896" customFormat="false" ht="15" hidden="false" customHeight="false" outlineLevel="0" collapsed="false">
      <c r="A896" s="2" t="s">
        <v>74</v>
      </c>
      <c r="B896" s="2" t="n">
        <v>2022</v>
      </c>
      <c r="C896" s="2" t="s">
        <v>88</v>
      </c>
      <c r="D896" s="3" t="n">
        <v>351084</v>
      </c>
      <c r="E896" s="3" t="n">
        <v>912150</v>
      </c>
      <c r="F896" s="2" t="s">
        <v>14</v>
      </c>
      <c r="G896" s="3" t="n">
        <v>2598</v>
      </c>
      <c r="H896" s="2" t="s">
        <v>15</v>
      </c>
      <c r="I896" s="2" t="n">
        <v>1000</v>
      </c>
      <c r="J896" s="4" t="n">
        <f aca="false">IFERROR(E896*I896/D896,"")</f>
        <v>2598.09618211026</v>
      </c>
      <c r="K896" s="5" t="n">
        <f aca="false">IFERROR((J896-G896)/G896,"")</f>
        <v>3.70215974842882E-005</v>
      </c>
      <c r="L896" s="2" t="str">
        <f aca="false">IF(K896="","",IF(ABS(K896)&gt;0.05,"CHECK","OK"))</f>
        <v>OK</v>
      </c>
    </row>
    <row r="897" customFormat="false" ht="15" hidden="false" customHeight="false" outlineLevel="0" collapsed="false">
      <c r="A897" s="2" t="s">
        <v>74</v>
      </c>
      <c r="B897" s="2" t="n">
        <v>2022</v>
      </c>
      <c r="C897" s="2" t="s">
        <v>89</v>
      </c>
      <c r="D897" s="3" t="n">
        <v>47874</v>
      </c>
      <c r="E897" s="3" t="n">
        <v>25071</v>
      </c>
      <c r="F897" s="2" t="s">
        <v>14</v>
      </c>
      <c r="G897" s="3" t="n">
        <v>524</v>
      </c>
      <c r="H897" s="2" t="s">
        <v>15</v>
      </c>
      <c r="I897" s="2" t="n">
        <v>1000</v>
      </c>
      <c r="J897" s="4" t="n">
        <f aca="false">IFERROR(E897*I897/D897,"")</f>
        <v>523.687178844467</v>
      </c>
      <c r="K897" s="5" t="n">
        <f aca="false">IFERROR((J897-G897)/G897,"")</f>
        <v>-0.00059698693804054</v>
      </c>
      <c r="L897" s="2" t="str">
        <f aca="false">IF(K897="","",IF(ABS(K897)&gt;0.05,"CHECK","OK"))</f>
        <v>OK</v>
      </c>
    </row>
    <row r="898" customFormat="false" ht="15" hidden="false" customHeight="false" outlineLevel="0" collapsed="false">
      <c r="A898" s="2" t="s">
        <v>75</v>
      </c>
      <c r="B898" s="2" t="n">
        <v>2023</v>
      </c>
      <c r="C898" s="2" t="s">
        <v>88</v>
      </c>
      <c r="D898" s="3" t="n">
        <v>326414</v>
      </c>
      <c r="E898" s="3" t="n">
        <v>880545</v>
      </c>
      <c r="F898" s="2" t="s">
        <v>14</v>
      </c>
      <c r="G898" s="3" t="n">
        <v>2698</v>
      </c>
      <c r="H898" s="2" t="s">
        <v>15</v>
      </c>
      <c r="I898" s="2" t="n">
        <v>1000</v>
      </c>
      <c r="J898" s="4" t="n">
        <f aca="false">IFERROR(E898*I898/D898,"")</f>
        <v>2697.63245449031</v>
      </c>
      <c r="K898" s="5" t="n">
        <f aca="false">IFERROR((J898-G898)/G898,"")</f>
        <v>-0.000136228876830982</v>
      </c>
      <c r="L898" s="2" t="str">
        <f aca="false">IF(K898="","",IF(ABS(K898)&gt;0.05,"CHECK","OK"))</f>
        <v>OK</v>
      </c>
    </row>
    <row r="899" customFormat="false" ht="15" hidden="false" customHeight="false" outlineLevel="0" collapsed="false">
      <c r="A899" s="2" t="s">
        <v>75</v>
      </c>
      <c r="B899" s="2" t="n">
        <v>2023</v>
      </c>
      <c r="C899" s="2" t="s">
        <v>89</v>
      </c>
      <c r="D899" s="3" t="n">
        <v>60442</v>
      </c>
      <c r="E899" s="3" t="n">
        <v>28918</v>
      </c>
      <c r="F899" s="2" t="s">
        <v>14</v>
      </c>
      <c r="G899" s="3" t="n">
        <v>478</v>
      </c>
      <c r="H899" s="2" t="s">
        <v>15</v>
      </c>
      <c r="I899" s="2" t="n">
        <v>1000</v>
      </c>
      <c r="J899" s="4" t="n">
        <f aca="false">IFERROR(E899*I899/D899,"")</f>
        <v>478.442142880778</v>
      </c>
      <c r="K899" s="5" t="n">
        <f aca="false">IFERROR((J899-G899)/G899,"")</f>
        <v>0.000924985106230647</v>
      </c>
      <c r="L899" s="2" t="str">
        <f aca="false">IF(K899="","",IF(ABS(K899)&gt;0.05,"CHECK","OK"))</f>
        <v>OK</v>
      </c>
    </row>
    <row r="900" customFormat="false" ht="15" hidden="false" customHeight="false" outlineLevel="0" collapsed="false">
      <c r="A900" s="2" t="s">
        <v>76</v>
      </c>
      <c r="B900" s="2" t="n">
        <v>2024</v>
      </c>
      <c r="C900" s="2" t="s">
        <v>88</v>
      </c>
      <c r="D900" s="3" t="n">
        <v>315506</v>
      </c>
      <c r="E900" s="3" t="n">
        <v>769430</v>
      </c>
      <c r="F900" s="2" t="s">
        <v>14</v>
      </c>
      <c r="G900" s="3" t="n">
        <v>2439</v>
      </c>
      <c r="H900" s="2" t="s">
        <v>15</v>
      </c>
      <c r="I900" s="2" t="n">
        <v>1000</v>
      </c>
      <c r="J900" s="4" t="n">
        <f aca="false">IFERROR(E900*I900/D900,"")</f>
        <v>2438.71748873239</v>
      </c>
      <c r="K900" s="5" t="n">
        <f aca="false">IFERROR((J900-G900)/G900,"")</f>
        <v>-0.00011583077802977</v>
      </c>
      <c r="L900" s="2" t="str">
        <f aca="false">IF(K900="","",IF(ABS(K900)&gt;0.05,"CHECK","OK"))</f>
        <v>OK</v>
      </c>
    </row>
    <row r="901" customFormat="false" ht="15" hidden="false" customHeight="false" outlineLevel="0" collapsed="false">
      <c r="A901" s="2" t="s">
        <v>76</v>
      </c>
      <c r="B901" s="2" t="n">
        <v>2024</v>
      </c>
      <c r="C901" s="2" t="s">
        <v>89</v>
      </c>
      <c r="D901" s="3" t="n">
        <v>78601</v>
      </c>
      <c r="E901" s="3" t="n">
        <v>33617</v>
      </c>
      <c r="F901" s="2" t="s">
        <v>14</v>
      </c>
      <c r="G901" s="3" t="n">
        <v>428</v>
      </c>
      <c r="H901" s="2" t="s">
        <v>15</v>
      </c>
      <c r="I901" s="2" t="n">
        <v>1000</v>
      </c>
      <c r="J901" s="4" t="n">
        <f aca="false">IFERROR(E901*I901/D901,"")</f>
        <v>427.691759646824</v>
      </c>
      <c r="K901" s="5" t="n">
        <f aca="false">IFERROR((J901-G901)/G901,"")</f>
        <v>-0.000720187741065861</v>
      </c>
      <c r="L901" s="2" t="str">
        <f aca="false">IF(K901="","",IF(ABS(K901)&gt;0.05,"CHECK","OK"))</f>
        <v>OK</v>
      </c>
    </row>
    <row r="902" customFormat="false" ht="15" hidden="false" customHeight="false" outlineLevel="0" collapsed="false">
      <c r="A902" s="2" t="s">
        <v>12</v>
      </c>
      <c r="B902" s="2" t="n">
        <v>1965</v>
      </c>
      <c r="C902" s="2" t="s">
        <v>90</v>
      </c>
      <c r="D902" s="3" t="n">
        <v>8207</v>
      </c>
      <c r="E902" s="3" t="n">
        <v>57290</v>
      </c>
      <c r="F902" s="2" t="s">
        <v>14</v>
      </c>
      <c r="G902" s="3" t="n">
        <v>6917</v>
      </c>
      <c r="H902" s="2" t="s">
        <v>15</v>
      </c>
      <c r="I902" s="2" t="n">
        <v>1000</v>
      </c>
      <c r="J902" s="4" t="n">
        <f aca="false">IFERROR(E902*I902/D902,"")</f>
        <v>6980.62629462654</v>
      </c>
      <c r="K902" s="5" t="n">
        <f aca="false">IFERROR((J902-G902)/G902,"")</f>
        <v>0.00919853905255729</v>
      </c>
      <c r="L902" s="2" t="str">
        <f aca="false">IF(K902="","",IF(ABS(K902)&gt;0.05,"CHECK","OK"))</f>
        <v>OK</v>
      </c>
    </row>
    <row r="903" customFormat="false" ht="15" hidden="false" customHeight="false" outlineLevel="0" collapsed="false">
      <c r="A903" s="2" t="s">
        <v>12</v>
      </c>
      <c r="B903" s="2" t="n">
        <v>1965</v>
      </c>
      <c r="C903" s="2" t="s">
        <v>91</v>
      </c>
      <c r="D903" s="3" t="n">
        <v>15866</v>
      </c>
      <c r="E903" s="3" t="n">
        <v>199100</v>
      </c>
      <c r="F903" s="2" t="s">
        <v>14</v>
      </c>
      <c r="G903" s="3" t="n">
        <v>12549</v>
      </c>
      <c r="H903" s="2" t="s">
        <v>15</v>
      </c>
      <c r="I903" s="2" t="n">
        <v>1000</v>
      </c>
      <c r="J903" s="4" t="n">
        <f aca="false">IFERROR(E903*I903/D903,"")</f>
        <v>12548.8465901929</v>
      </c>
      <c r="K903" s="5" t="n">
        <f aca="false">IFERROR((J903-G903)/G903,"")</f>
        <v>-1.2224863107433E-005</v>
      </c>
      <c r="L903" s="2" t="str">
        <f aca="false">IF(K903="","",IF(ABS(K903)&gt;0.05,"CHECK","OK"))</f>
        <v>OK</v>
      </c>
    </row>
    <row r="904" customFormat="false" ht="15" hidden="false" customHeight="false" outlineLevel="0" collapsed="false">
      <c r="A904" s="2" t="s">
        <v>18</v>
      </c>
      <c r="B904" s="2" t="n">
        <v>1966</v>
      </c>
      <c r="C904" s="2" t="s">
        <v>90</v>
      </c>
      <c r="D904" s="3" t="n">
        <v>9768</v>
      </c>
      <c r="E904" s="3" t="n">
        <v>69790</v>
      </c>
      <c r="F904" s="2" t="s">
        <v>14</v>
      </c>
      <c r="G904" s="3" t="n">
        <v>7150</v>
      </c>
      <c r="H904" s="2" t="s">
        <v>15</v>
      </c>
      <c r="I904" s="2" t="n">
        <v>1000</v>
      </c>
      <c r="J904" s="4" t="n">
        <f aca="false">IFERROR(E904*I904/D904,"")</f>
        <v>7144.75839475839</v>
      </c>
      <c r="K904" s="5" t="n">
        <f aca="false">IFERROR((J904-G904)/G904,"")</f>
        <v>-0.000733091642182603</v>
      </c>
      <c r="L904" s="2" t="str">
        <f aca="false">IF(K904="","",IF(ABS(K904)&gt;0.05,"CHECK","OK"))</f>
        <v>OK</v>
      </c>
    </row>
    <row r="905" customFormat="false" ht="15" hidden="false" customHeight="false" outlineLevel="0" collapsed="false">
      <c r="A905" s="2" t="s">
        <v>18</v>
      </c>
      <c r="B905" s="2" t="n">
        <v>1966</v>
      </c>
      <c r="C905" s="2" t="s">
        <v>91</v>
      </c>
      <c r="D905" s="3" t="n">
        <v>12978</v>
      </c>
      <c r="E905" s="3" t="n">
        <v>168450</v>
      </c>
      <c r="F905" s="2" t="s">
        <v>14</v>
      </c>
      <c r="G905" s="3" t="n">
        <v>12980</v>
      </c>
      <c r="H905" s="2" t="s">
        <v>15</v>
      </c>
      <c r="I905" s="2" t="n">
        <v>1000</v>
      </c>
      <c r="J905" s="4" t="n">
        <f aca="false">IFERROR(E905*I905/D905,"")</f>
        <v>12979.6578825705</v>
      </c>
      <c r="K905" s="5" t="n">
        <f aca="false">IFERROR((J905-G905)/G905,"")</f>
        <v>-2.63572749997137E-005</v>
      </c>
      <c r="L905" s="2" t="str">
        <f aca="false">IF(K905="","",IF(ABS(K905)&gt;0.05,"CHECK","OK"))</f>
        <v>OK</v>
      </c>
    </row>
    <row r="906" customFormat="false" ht="15" hidden="false" customHeight="false" outlineLevel="0" collapsed="false">
      <c r="A906" s="2" t="s">
        <v>19</v>
      </c>
      <c r="B906" s="2" t="n">
        <v>1967</v>
      </c>
      <c r="C906" s="2" t="s">
        <v>90</v>
      </c>
      <c r="D906" s="3" t="n">
        <v>11796</v>
      </c>
      <c r="E906" s="3" t="n">
        <v>83680</v>
      </c>
      <c r="F906" s="2" t="s">
        <v>14</v>
      </c>
      <c r="G906" s="3" t="n">
        <v>7096</v>
      </c>
      <c r="H906" s="2" t="s">
        <v>15</v>
      </c>
      <c r="I906" s="2" t="n">
        <v>1000</v>
      </c>
      <c r="J906" s="4" t="n">
        <f aca="false">IFERROR(E906*I906/D906,"")</f>
        <v>7093.93014581214</v>
      </c>
      <c r="K906" s="5" t="n">
        <f aca="false">IFERROR((J906-G906)/G906,"")</f>
        <v>-0.000291693092990428</v>
      </c>
      <c r="L906" s="2" t="str">
        <f aca="false">IF(K906="","",IF(ABS(K906)&gt;0.05,"CHECK","OK"))</f>
        <v>OK</v>
      </c>
    </row>
    <row r="907" customFormat="false" ht="15" hidden="false" customHeight="false" outlineLevel="0" collapsed="false">
      <c r="A907" s="2" t="s">
        <v>19</v>
      </c>
      <c r="B907" s="2" t="n">
        <v>1967</v>
      </c>
      <c r="C907" s="2" t="s">
        <v>91</v>
      </c>
      <c r="D907" s="3" t="n">
        <v>17128</v>
      </c>
      <c r="E907" s="3" t="n">
        <v>214530</v>
      </c>
      <c r="F907" s="2" t="s">
        <v>14</v>
      </c>
      <c r="G907" s="3" t="n">
        <v>12525</v>
      </c>
      <c r="H907" s="2" t="s">
        <v>15</v>
      </c>
      <c r="I907" s="2" t="n">
        <v>1000</v>
      </c>
      <c r="J907" s="4" t="n">
        <f aca="false">IFERROR(E907*I907/D907,"")</f>
        <v>12525.1050910789</v>
      </c>
      <c r="K907" s="5" t="n">
        <f aca="false">IFERROR((J907-G907)/G907,"")</f>
        <v>8.3905053041511E-006</v>
      </c>
      <c r="L907" s="2" t="str">
        <f aca="false">IF(K907="","",IF(ABS(K907)&gt;0.05,"CHECK","OK"))</f>
        <v>OK</v>
      </c>
    </row>
    <row r="908" customFormat="false" ht="15" hidden="false" customHeight="false" outlineLevel="0" collapsed="false">
      <c r="A908" s="2" t="s">
        <v>20</v>
      </c>
      <c r="B908" s="2" t="n">
        <v>1968</v>
      </c>
      <c r="C908" s="2" t="s">
        <v>90</v>
      </c>
      <c r="D908" s="3" t="n">
        <v>11648</v>
      </c>
      <c r="E908" s="3" t="n">
        <v>90800</v>
      </c>
      <c r="F908" s="2" t="s">
        <v>14</v>
      </c>
      <c r="G908" s="3" t="n">
        <v>7795</v>
      </c>
      <c r="H908" s="2" t="s">
        <v>15</v>
      </c>
      <c r="I908" s="2" t="n">
        <v>1000</v>
      </c>
      <c r="J908" s="4" t="n">
        <f aca="false">IFERROR(E908*I908/D908,"")</f>
        <v>7795.32967032967</v>
      </c>
      <c r="K908" s="5" t="n">
        <f aca="false">IFERROR((J908-G908)/G908,"")</f>
        <v>4.22925374817293E-005</v>
      </c>
      <c r="L908" s="2" t="str">
        <f aca="false">IF(K908="","",IF(ABS(K908)&gt;0.05,"CHECK","OK"))</f>
        <v>OK</v>
      </c>
    </row>
    <row r="909" customFormat="false" ht="15" hidden="false" customHeight="false" outlineLevel="0" collapsed="false">
      <c r="A909" s="2" t="s">
        <v>20</v>
      </c>
      <c r="B909" s="2" t="n">
        <v>1968</v>
      </c>
      <c r="C909" s="2" t="s">
        <v>91</v>
      </c>
      <c r="D909" s="3" t="n">
        <v>13314</v>
      </c>
      <c r="E909" s="3" t="n">
        <v>174900</v>
      </c>
      <c r="F909" s="2" t="s">
        <v>14</v>
      </c>
      <c r="G909" s="3" t="n">
        <v>13080</v>
      </c>
      <c r="H909" s="2" t="s">
        <v>15</v>
      </c>
      <c r="I909" s="2" t="n">
        <v>1000</v>
      </c>
      <c r="J909" s="4" t="n">
        <f aca="false">IFERROR(E909*I909/D909,"")</f>
        <v>13136.5479945922</v>
      </c>
      <c r="K909" s="5" t="n">
        <f aca="false">IFERROR((J909-G909)/G909,"")</f>
        <v>0.00432324117677048</v>
      </c>
      <c r="L909" s="2" t="str">
        <f aca="false">IF(K909="","",IF(ABS(K909)&gt;0.05,"CHECK","OK"))</f>
        <v>OK</v>
      </c>
    </row>
    <row r="910" customFormat="false" ht="15" hidden="false" customHeight="false" outlineLevel="0" collapsed="false">
      <c r="A910" s="2" t="s">
        <v>21</v>
      </c>
      <c r="B910" s="2" t="n">
        <v>1969</v>
      </c>
      <c r="C910" s="2" t="s">
        <v>90</v>
      </c>
      <c r="D910" s="3" t="n">
        <v>11309</v>
      </c>
      <c r="E910" s="3" t="n">
        <v>81760</v>
      </c>
      <c r="F910" s="2" t="s">
        <v>14</v>
      </c>
      <c r="G910" s="3" t="n">
        <v>7232</v>
      </c>
      <c r="H910" s="2" t="s">
        <v>15</v>
      </c>
      <c r="I910" s="2" t="n">
        <v>1000</v>
      </c>
      <c r="J910" s="4" t="n">
        <f aca="false">IFERROR(E910*I910/D910,"")</f>
        <v>7229.64010964718</v>
      </c>
      <c r="K910" s="5" t="n">
        <f aca="false">IFERROR((J910-G910)/G910,"")</f>
        <v>-0.000326312272236776</v>
      </c>
      <c r="L910" s="2" t="str">
        <f aca="false">IF(K910="","",IF(ABS(K910)&gt;0.05,"CHECK","OK"))</f>
        <v>OK</v>
      </c>
    </row>
    <row r="911" customFormat="false" ht="15" hidden="false" customHeight="false" outlineLevel="0" collapsed="false">
      <c r="A911" s="2" t="s">
        <v>21</v>
      </c>
      <c r="B911" s="2" t="n">
        <v>1969</v>
      </c>
      <c r="C911" s="2" t="s">
        <v>91</v>
      </c>
      <c r="D911" s="3" t="n">
        <v>16055</v>
      </c>
      <c r="E911" s="3" t="n">
        <v>207040</v>
      </c>
      <c r="F911" s="2" t="s">
        <v>14</v>
      </c>
      <c r="G911" s="3" t="n">
        <v>12914</v>
      </c>
      <c r="H911" s="2" t="s">
        <v>15</v>
      </c>
      <c r="I911" s="2" t="n">
        <v>1000</v>
      </c>
      <c r="J911" s="4" t="n">
        <f aca="false">IFERROR(E911*I911/D911,"")</f>
        <v>12895.6711304889</v>
      </c>
      <c r="K911" s="5" t="n">
        <f aca="false">IFERROR((J911-G911)/G911,"")</f>
        <v>-0.00141930226971155</v>
      </c>
      <c r="L911" s="2" t="str">
        <f aca="false">IF(K911="","",IF(ABS(K911)&gt;0.05,"CHECK","OK"))</f>
        <v>OK</v>
      </c>
    </row>
    <row r="912" customFormat="false" ht="15" hidden="false" customHeight="false" outlineLevel="0" collapsed="false">
      <c r="A912" s="2" t="s">
        <v>22</v>
      </c>
      <c r="B912" s="2" t="n">
        <v>1970</v>
      </c>
      <c r="C912" s="2" t="s">
        <v>90</v>
      </c>
      <c r="D912" s="3" t="n">
        <v>11708</v>
      </c>
      <c r="E912" s="3" t="n">
        <v>86430</v>
      </c>
      <c r="F912" s="2" t="s">
        <v>14</v>
      </c>
      <c r="G912" s="3" t="n">
        <v>7382</v>
      </c>
      <c r="H912" s="2" t="s">
        <v>15</v>
      </c>
      <c r="I912" s="2" t="n">
        <v>1000</v>
      </c>
      <c r="J912" s="4" t="n">
        <f aca="false">IFERROR(E912*I912/D912,"")</f>
        <v>7382.13187564059</v>
      </c>
      <c r="K912" s="5" t="n">
        <f aca="false">IFERROR((J912-G912)/G912,"")</f>
        <v>1.7864486668664E-005</v>
      </c>
      <c r="L912" s="2" t="str">
        <f aca="false">IF(K912="","",IF(ABS(K912)&gt;0.05,"CHECK","OK"))</f>
        <v>OK</v>
      </c>
    </row>
    <row r="913" customFormat="false" ht="15" hidden="false" customHeight="false" outlineLevel="0" collapsed="false">
      <c r="A913" s="2" t="s">
        <v>22</v>
      </c>
      <c r="B913" s="2" t="n">
        <v>1970</v>
      </c>
      <c r="C913" s="2" t="s">
        <v>91</v>
      </c>
      <c r="D913" s="3" t="n">
        <v>17588</v>
      </c>
      <c r="E913" s="3" t="n">
        <v>226240</v>
      </c>
      <c r="F913" s="2" t="s">
        <v>14</v>
      </c>
      <c r="G913" s="3" t="n">
        <v>12913</v>
      </c>
      <c r="H913" s="2" t="s">
        <v>15</v>
      </c>
      <c r="I913" s="2" t="n">
        <v>1000</v>
      </c>
      <c r="J913" s="4" t="n">
        <f aca="false">IFERROR(E913*I913/D913,"")</f>
        <v>12863.3158972026</v>
      </c>
      <c r="K913" s="5" t="n">
        <f aca="false">IFERROR((J913-G913)/G913,"")</f>
        <v>-0.00384760340721462</v>
      </c>
      <c r="L913" s="2" t="str">
        <f aca="false">IF(K913="","",IF(ABS(K913)&gt;0.05,"CHECK","OK"))</f>
        <v>OK</v>
      </c>
    </row>
    <row r="914" customFormat="false" ht="15" hidden="false" customHeight="false" outlineLevel="0" collapsed="false">
      <c r="A914" s="2" t="s">
        <v>23</v>
      </c>
      <c r="B914" s="2" t="n">
        <v>1971</v>
      </c>
      <c r="C914" s="2" t="s">
        <v>90</v>
      </c>
      <c r="D914" s="3" t="n">
        <v>12340</v>
      </c>
      <c r="E914" s="3" t="n">
        <v>104130</v>
      </c>
      <c r="F914" s="2" t="s">
        <v>14</v>
      </c>
      <c r="G914" s="3" t="n">
        <v>8438</v>
      </c>
      <c r="H914" s="2" t="s">
        <v>15</v>
      </c>
      <c r="I914" s="2" t="n">
        <v>1000</v>
      </c>
      <c r="J914" s="4" t="n">
        <f aca="false">IFERROR(E914*I914/D914,"")</f>
        <v>8438.41166936791</v>
      </c>
      <c r="K914" s="5" t="n">
        <f aca="false">IFERROR((J914-G914)/G914,"")</f>
        <v>4.87875524899005E-005</v>
      </c>
      <c r="L914" s="2" t="str">
        <f aca="false">IF(K914="","",IF(ABS(K914)&gt;0.05,"CHECK","OK"))</f>
        <v>OK</v>
      </c>
    </row>
    <row r="915" customFormat="false" ht="15" hidden="false" customHeight="false" outlineLevel="0" collapsed="false">
      <c r="A915" s="2" t="s">
        <v>23</v>
      </c>
      <c r="B915" s="2" t="n">
        <v>1971</v>
      </c>
      <c r="C915" s="2" t="s">
        <v>91</v>
      </c>
      <c r="D915" s="3" t="n">
        <v>14151</v>
      </c>
      <c r="E915" s="3" t="n">
        <v>181100</v>
      </c>
      <c r="F915" s="2" t="s">
        <v>14</v>
      </c>
      <c r="G915" s="3" t="n">
        <v>12828</v>
      </c>
      <c r="H915" s="2" t="s">
        <v>15</v>
      </c>
      <c r="I915" s="2" t="n">
        <v>1000</v>
      </c>
      <c r="J915" s="4" t="n">
        <f aca="false">IFERROR(E915*I915/D915,"")</f>
        <v>12797.6821426048</v>
      </c>
      <c r="K915" s="5" t="n">
        <f aca="false">IFERROR((J915-G915)/G915,"")</f>
        <v>-0.0023634126438445</v>
      </c>
      <c r="L915" s="2" t="str">
        <f aca="false">IF(K915="","",IF(ABS(K915)&gt;0.05,"CHECK","OK"))</f>
        <v>OK</v>
      </c>
    </row>
    <row r="916" customFormat="false" ht="15" hidden="false" customHeight="false" outlineLevel="0" collapsed="false">
      <c r="A916" s="2" t="s">
        <v>24</v>
      </c>
      <c r="B916" s="2" t="n">
        <v>1972</v>
      </c>
      <c r="C916" s="2" t="s">
        <v>90</v>
      </c>
      <c r="D916" s="3" t="n">
        <v>12178</v>
      </c>
      <c r="E916" s="3" t="n">
        <v>104340</v>
      </c>
      <c r="F916" s="2" t="s">
        <v>14</v>
      </c>
      <c r="G916" s="3" t="n">
        <v>8568</v>
      </c>
      <c r="H916" s="2" t="s">
        <v>15</v>
      </c>
      <c r="I916" s="2" t="n">
        <v>1000</v>
      </c>
      <c r="J916" s="4" t="n">
        <f aca="false">IFERROR(E916*I916/D916,"")</f>
        <v>8567.90934471999</v>
      </c>
      <c r="K916" s="5" t="n">
        <f aca="false">IFERROR((J916-G916)/G916,"")</f>
        <v>-1.05806816075373E-005</v>
      </c>
      <c r="L916" s="2" t="str">
        <f aca="false">IF(K916="","",IF(ABS(K916)&gt;0.05,"CHECK","OK"))</f>
        <v>OK</v>
      </c>
    </row>
    <row r="917" customFormat="false" ht="15" hidden="false" customHeight="false" outlineLevel="0" collapsed="false">
      <c r="A917" s="2" t="s">
        <v>24</v>
      </c>
      <c r="B917" s="2" t="n">
        <v>1972</v>
      </c>
      <c r="C917" s="2" t="s">
        <v>91</v>
      </c>
      <c r="D917" s="3" t="n">
        <v>17402</v>
      </c>
      <c r="E917" s="3" t="n">
        <v>226550</v>
      </c>
      <c r="F917" s="2" t="s">
        <v>14</v>
      </c>
      <c r="G917" s="3" t="n">
        <v>13041</v>
      </c>
      <c r="H917" s="2" t="s">
        <v>15</v>
      </c>
      <c r="I917" s="2" t="n">
        <v>1000</v>
      </c>
      <c r="J917" s="4" t="n">
        <f aca="false">IFERROR(E917*I917/D917,"")</f>
        <v>13018.618549592</v>
      </c>
      <c r="K917" s="5" t="n">
        <f aca="false">IFERROR((J917-G917)/G917,"")</f>
        <v>-0.00171623728303031</v>
      </c>
      <c r="L917" s="2" t="str">
        <f aca="false">IF(K917="","",IF(ABS(K917)&gt;0.05,"CHECK","OK"))</f>
        <v>OK</v>
      </c>
    </row>
    <row r="918" customFormat="false" ht="15" hidden="false" customHeight="false" outlineLevel="0" collapsed="false">
      <c r="A918" s="2" t="s">
        <v>25</v>
      </c>
      <c r="B918" s="2" t="n">
        <v>1973</v>
      </c>
      <c r="C918" s="2" t="s">
        <v>90</v>
      </c>
      <c r="D918" s="3" t="n">
        <v>12635</v>
      </c>
      <c r="E918" s="3" t="n">
        <v>105900</v>
      </c>
      <c r="F918" s="2" t="s">
        <v>14</v>
      </c>
      <c r="G918" s="3" t="n">
        <v>8381</v>
      </c>
      <c r="H918" s="2" t="s">
        <v>15</v>
      </c>
      <c r="I918" s="2" t="n">
        <v>1000</v>
      </c>
      <c r="J918" s="4" t="n">
        <f aca="false">IFERROR(E918*I918/D918,"")</f>
        <v>8381.48001582905</v>
      </c>
      <c r="K918" s="5" t="n">
        <f aca="false">IFERROR((J918-G918)/G918,"")</f>
        <v>5.7274290543544E-005</v>
      </c>
      <c r="L918" s="2" t="str">
        <f aca="false">IF(K918="","",IF(ABS(K918)&gt;0.05,"CHECK","OK"))</f>
        <v>OK</v>
      </c>
    </row>
    <row r="919" customFormat="false" ht="15" hidden="false" customHeight="false" outlineLevel="0" collapsed="false">
      <c r="A919" s="2" t="s">
        <v>25</v>
      </c>
      <c r="B919" s="2" t="n">
        <v>1973</v>
      </c>
      <c r="C919" s="2" t="s">
        <v>91</v>
      </c>
      <c r="D919" s="3" t="n">
        <v>19414</v>
      </c>
      <c r="E919" s="3" t="n">
        <v>246790</v>
      </c>
      <c r="F919" s="2" t="s">
        <v>14</v>
      </c>
      <c r="G919" s="3" t="n">
        <v>12731</v>
      </c>
      <c r="H919" s="2" t="s">
        <v>15</v>
      </c>
      <c r="I919" s="2" t="n">
        <v>1000</v>
      </c>
      <c r="J919" s="4" t="n">
        <f aca="false">IFERROR(E919*I919/D919,"")</f>
        <v>12711.9604409189</v>
      </c>
      <c r="K919" s="5" t="n">
        <f aca="false">IFERROR((J919-G919)/G919,"")</f>
        <v>-0.00149552738049446</v>
      </c>
      <c r="L919" s="2" t="str">
        <f aca="false">IF(K919="","",IF(ABS(K919)&gt;0.05,"CHECK","OK"))</f>
        <v>OK</v>
      </c>
    </row>
    <row r="920" customFormat="false" ht="15" hidden="false" customHeight="false" outlineLevel="0" collapsed="false">
      <c r="A920" s="2" t="s">
        <v>26</v>
      </c>
      <c r="B920" s="2" t="n">
        <v>1974</v>
      </c>
      <c r="C920" s="2" t="s">
        <v>90</v>
      </c>
      <c r="D920" s="3" t="n">
        <v>11062</v>
      </c>
      <c r="E920" s="3" t="n">
        <v>153530</v>
      </c>
      <c r="F920" s="2" t="s">
        <v>14</v>
      </c>
      <c r="G920" s="3" t="n">
        <v>13879</v>
      </c>
      <c r="H920" s="2" t="s">
        <v>15</v>
      </c>
      <c r="I920" s="2" t="n">
        <v>1000</v>
      </c>
      <c r="J920" s="4" t="n">
        <f aca="false">IFERROR(E920*I920/D920,"")</f>
        <v>13879.0453805822</v>
      </c>
      <c r="K920" s="5" t="n">
        <f aca="false">IFERROR((J920-G920)/G920,"")</f>
        <v>3.26972996416051E-006</v>
      </c>
      <c r="L920" s="2" t="str">
        <f aca="false">IF(K920="","",IF(ABS(K920)&gt;0.05,"CHECK","OK"))</f>
        <v>OK</v>
      </c>
    </row>
    <row r="921" customFormat="false" ht="15" hidden="false" customHeight="false" outlineLevel="0" collapsed="false">
      <c r="A921" s="2" t="s">
        <v>26</v>
      </c>
      <c r="B921" s="2" t="n">
        <v>1974</v>
      </c>
      <c r="C921" s="2" t="s">
        <v>91</v>
      </c>
      <c r="D921" s="3" t="n">
        <v>14306</v>
      </c>
      <c r="E921" s="3" t="n">
        <v>127240</v>
      </c>
      <c r="F921" s="2" t="s">
        <v>14</v>
      </c>
      <c r="G921" s="3" t="n">
        <v>8894</v>
      </c>
      <c r="H921" s="2" t="s">
        <v>15</v>
      </c>
      <c r="I921" s="2" t="n">
        <v>1000</v>
      </c>
      <c r="J921" s="4" t="n">
        <f aca="false">IFERROR(E921*I921/D921,"")</f>
        <v>8894.17027820495</v>
      </c>
      <c r="K921" s="5" t="n">
        <f aca="false">IFERROR((J921-G921)/G921,"")</f>
        <v>1.91452895152656E-005</v>
      </c>
      <c r="L921" s="2" t="str">
        <f aca="false">IF(K921="","",IF(ABS(K921)&gt;0.05,"CHECK","OK"))</f>
        <v>OK</v>
      </c>
    </row>
    <row r="922" customFormat="false" ht="15" hidden="false" customHeight="false" outlineLevel="0" collapsed="false">
      <c r="A922" s="2" t="s">
        <v>27</v>
      </c>
      <c r="B922" s="2" t="n">
        <v>1975</v>
      </c>
      <c r="C922" s="2" t="s">
        <v>90</v>
      </c>
      <c r="D922" s="3" t="n">
        <v>10259</v>
      </c>
      <c r="E922" s="3" t="n">
        <v>144290</v>
      </c>
      <c r="F922" s="2" t="s">
        <v>14</v>
      </c>
      <c r="G922" s="3" t="n">
        <v>14065</v>
      </c>
      <c r="H922" s="2" t="s">
        <v>15</v>
      </c>
      <c r="I922" s="2" t="n">
        <v>1000</v>
      </c>
      <c r="J922" s="4" t="n">
        <f aca="false">IFERROR(E922*I922/D922,"")</f>
        <v>14064.7236572765</v>
      </c>
      <c r="K922" s="5" t="n">
        <f aca="false">IFERROR((J922-G922)/G922,"")</f>
        <v>-1.96475452159418E-005</v>
      </c>
      <c r="L922" s="2" t="str">
        <f aca="false">IF(K922="","",IF(ABS(K922)&gt;0.05,"CHECK","OK"))</f>
        <v>OK</v>
      </c>
    </row>
    <row r="923" customFormat="false" ht="15" hidden="false" customHeight="false" outlineLevel="0" collapsed="false">
      <c r="A923" s="2" t="s">
        <v>27</v>
      </c>
      <c r="B923" s="2" t="n">
        <v>1975</v>
      </c>
      <c r="C923" s="2" t="s">
        <v>91</v>
      </c>
      <c r="D923" s="3" t="n">
        <v>16430</v>
      </c>
      <c r="E923" s="3" t="n">
        <v>193510</v>
      </c>
      <c r="F923" s="2" t="s">
        <v>14</v>
      </c>
      <c r="G923" s="3" t="n">
        <v>11783</v>
      </c>
      <c r="H923" s="2" t="s">
        <v>15</v>
      </c>
      <c r="I923" s="2" t="n">
        <v>1000</v>
      </c>
      <c r="J923" s="4" t="n">
        <f aca="false">IFERROR(E923*I923/D923,"")</f>
        <v>11777.8454047474</v>
      </c>
      <c r="K923" s="5" t="n">
        <f aca="false">IFERROR((J923-G923)/G923,"")</f>
        <v>-0.000437460345632408</v>
      </c>
      <c r="L923" s="2" t="str">
        <f aca="false">IF(K923="","",IF(ABS(K923)&gt;0.05,"CHECK","OK"))</f>
        <v>OK</v>
      </c>
    </row>
    <row r="924" customFormat="false" ht="15" hidden="false" customHeight="false" outlineLevel="0" collapsed="false">
      <c r="A924" s="2" t="s">
        <v>28</v>
      </c>
      <c r="B924" s="2" t="n">
        <v>1976</v>
      </c>
      <c r="C924" s="2" t="s">
        <v>90</v>
      </c>
      <c r="D924" s="3" t="n">
        <v>11183</v>
      </c>
      <c r="E924" s="3" t="n">
        <v>132570</v>
      </c>
      <c r="F924" s="2" t="s">
        <v>14</v>
      </c>
      <c r="G924" s="3" t="n">
        <v>11852</v>
      </c>
      <c r="H924" s="2" t="s">
        <v>15</v>
      </c>
      <c r="I924" s="2" t="n">
        <v>1000</v>
      </c>
      <c r="J924" s="4" t="n">
        <f aca="false">IFERROR(E924*I924/D924,"")</f>
        <v>11854.6007332558</v>
      </c>
      <c r="K924" s="5" t="n">
        <f aca="false">IFERROR((J924-G924)/G924,"")</f>
        <v>0.000219434125534485</v>
      </c>
      <c r="L924" s="2" t="str">
        <f aca="false">IF(K924="","",IF(ABS(K924)&gt;0.05,"CHECK","OK"))</f>
        <v>OK</v>
      </c>
    </row>
    <row r="925" customFormat="false" ht="15" hidden="false" customHeight="false" outlineLevel="0" collapsed="false">
      <c r="A925" s="2" t="s">
        <v>28</v>
      </c>
      <c r="B925" s="2" t="n">
        <v>1976</v>
      </c>
      <c r="C925" s="2" t="s">
        <v>91</v>
      </c>
      <c r="D925" s="3" t="n">
        <v>17360</v>
      </c>
      <c r="E925" s="3" t="n">
        <v>149880</v>
      </c>
      <c r="F925" s="2" t="s">
        <v>14</v>
      </c>
      <c r="G925" s="3" t="n">
        <v>8634</v>
      </c>
      <c r="H925" s="2" t="s">
        <v>15</v>
      </c>
      <c r="I925" s="2" t="n">
        <v>1000</v>
      </c>
      <c r="J925" s="4" t="n">
        <f aca="false">IFERROR(E925*I925/D925,"")</f>
        <v>8633.64055299539</v>
      </c>
      <c r="K925" s="5" t="n">
        <f aca="false">IFERROR((J925-G925)/G925,"")</f>
        <v>-4.16315733852476E-005</v>
      </c>
      <c r="L925" s="2" t="str">
        <f aca="false">IF(K925="","",IF(ABS(K925)&gt;0.05,"CHECK","OK"))</f>
        <v>OK</v>
      </c>
    </row>
    <row r="926" customFormat="false" ht="15" hidden="false" customHeight="false" outlineLevel="0" collapsed="false">
      <c r="A926" s="2" t="s">
        <v>29</v>
      </c>
      <c r="B926" s="2" t="n">
        <v>1977</v>
      </c>
      <c r="C926" s="2" t="s">
        <v>90</v>
      </c>
      <c r="D926" s="3" t="n">
        <v>11425</v>
      </c>
      <c r="E926" s="3" t="n">
        <v>99460</v>
      </c>
      <c r="F926" s="2" t="s">
        <v>14</v>
      </c>
      <c r="G926" s="3" t="n">
        <v>8705</v>
      </c>
      <c r="H926" s="2" t="s">
        <v>15</v>
      </c>
      <c r="I926" s="2" t="n">
        <v>1000</v>
      </c>
      <c r="J926" s="4" t="n">
        <f aca="false">IFERROR(E926*I926/D926,"")</f>
        <v>8705.4704595186</v>
      </c>
      <c r="K926" s="5" t="n">
        <f aca="false">IFERROR((J926-G926)/G926,"")</f>
        <v>5.40447465364107E-005</v>
      </c>
      <c r="L926" s="2" t="str">
        <f aca="false">IF(K926="","",IF(ABS(K926)&gt;0.05,"CHECK","OK"))</f>
        <v>OK</v>
      </c>
    </row>
    <row r="927" customFormat="false" ht="15" hidden="false" customHeight="false" outlineLevel="0" collapsed="false">
      <c r="A927" s="2" t="s">
        <v>29</v>
      </c>
      <c r="B927" s="2" t="n">
        <v>1977</v>
      </c>
      <c r="C927" s="2" t="s">
        <v>91</v>
      </c>
      <c r="D927" s="3" t="n">
        <v>19393</v>
      </c>
      <c r="E927" s="3" t="n">
        <v>203510</v>
      </c>
      <c r="F927" s="2" t="s">
        <v>14</v>
      </c>
      <c r="G927" s="3" t="n">
        <v>10494</v>
      </c>
      <c r="H927" s="2" t="s">
        <v>15</v>
      </c>
      <c r="I927" s="2" t="n">
        <v>1000</v>
      </c>
      <c r="J927" s="4" t="n">
        <f aca="false">IFERROR(E927*I927/D927,"")</f>
        <v>10493.9926777703</v>
      </c>
      <c r="K927" s="5" t="n">
        <f aca="false">IFERROR((J927-G927)/G927,"")</f>
        <v>-6.97753923245217E-007</v>
      </c>
      <c r="L927" s="2" t="str">
        <f aca="false">IF(K927="","",IF(ABS(K927)&gt;0.05,"CHECK","OK"))</f>
        <v>OK</v>
      </c>
    </row>
    <row r="928" customFormat="false" ht="15" hidden="false" customHeight="false" outlineLevel="0" collapsed="false">
      <c r="A928" s="2" t="s">
        <v>30</v>
      </c>
      <c r="B928" s="2" t="n">
        <v>1978</v>
      </c>
      <c r="C928" s="2" t="s">
        <v>90</v>
      </c>
      <c r="D928" s="3" t="n">
        <v>10563</v>
      </c>
      <c r="E928" s="3" t="n">
        <v>75250</v>
      </c>
      <c r="F928" s="2" t="s">
        <v>14</v>
      </c>
      <c r="G928" s="3" t="n">
        <v>7124</v>
      </c>
      <c r="H928" s="2" t="s">
        <v>15</v>
      </c>
      <c r="I928" s="2" t="n">
        <v>1000</v>
      </c>
      <c r="J928" s="4" t="n">
        <f aca="false">IFERROR(E928*I928/D928,"")</f>
        <v>7123.92312789927</v>
      </c>
      <c r="K928" s="5" t="n">
        <f aca="false">IFERROR((J928-G928)/G928,"")</f>
        <v>-1.07905812365112E-005</v>
      </c>
      <c r="L928" s="2" t="str">
        <f aca="false">IF(K928="","",IF(ABS(K928)&gt;0.05,"CHECK","OK"))</f>
        <v>OK</v>
      </c>
    </row>
    <row r="929" customFormat="false" ht="15" hidden="false" customHeight="false" outlineLevel="0" collapsed="false">
      <c r="A929" s="2" t="s">
        <v>30</v>
      </c>
      <c r="B929" s="2" t="n">
        <v>1978</v>
      </c>
      <c r="C929" s="2" t="s">
        <v>91</v>
      </c>
      <c r="D929" s="3" t="n">
        <v>25637</v>
      </c>
      <c r="E929" s="3" t="n">
        <v>270520</v>
      </c>
      <c r="F929" s="2" t="s">
        <v>14</v>
      </c>
      <c r="G929" s="3" t="n">
        <v>10552</v>
      </c>
      <c r="H929" s="2" t="s">
        <v>15</v>
      </c>
      <c r="I929" s="2" t="n">
        <v>1000</v>
      </c>
      <c r="J929" s="4" t="n">
        <f aca="false">IFERROR(E929*I929/D929,"")</f>
        <v>10551.9366540547</v>
      </c>
      <c r="K929" s="5" t="n">
        <f aca="false">IFERROR((J929-G929)/G929,"")</f>
        <v>-6.00321695535477E-006</v>
      </c>
      <c r="L929" s="2" t="str">
        <f aca="false">IF(K929="","",IF(ABS(K929)&gt;0.05,"CHECK","OK"))</f>
        <v>OK</v>
      </c>
    </row>
    <row r="930" customFormat="false" ht="15" hidden="false" customHeight="false" outlineLevel="0" collapsed="false">
      <c r="A930" s="2" t="s">
        <v>31</v>
      </c>
      <c r="B930" s="2" t="n">
        <v>1979</v>
      </c>
      <c r="C930" s="2" t="s">
        <v>90</v>
      </c>
      <c r="D930" s="3" t="n">
        <v>10758</v>
      </c>
      <c r="E930" s="3" t="n">
        <v>76260</v>
      </c>
      <c r="F930" s="2" t="s">
        <v>14</v>
      </c>
      <c r="G930" s="3" t="n">
        <v>7089</v>
      </c>
      <c r="H930" s="2" t="s">
        <v>15</v>
      </c>
      <c r="I930" s="2" t="n">
        <v>1000</v>
      </c>
      <c r="J930" s="4" t="n">
        <f aca="false">IFERROR(E930*I930/D930,"")</f>
        <v>7088.67819297267</v>
      </c>
      <c r="K930" s="5" t="n">
        <f aca="false">IFERROR((J930-G930)/G930,"")</f>
        <v>-4.53952641174721E-005</v>
      </c>
      <c r="L930" s="2" t="str">
        <f aca="false">IF(K930="","",IF(ABS(K930)&gt;0.05,"CHECK","OK"))</f>
        <v>OK</v>
      </c>
    </row>
    <row r="931" customFormat="false" ht="15" hidden="false" customHeight="false" outlineLevel="0" collapsed="false">
      <c r="A931" s="2" t="s">
        <v>31</v>
      </c>
      <c r="B931" s="2" t="n">
        <v>1979</v>
      </c>
      <c r="C931" s="2" t="s">
        <v>91</v>
      </c>
      <c r="D931" s="3" t="n">
        <v>21970</v>
      </c>
      <c r="E931" s="3" t="n">
        <v>239260</v>
      </c>
      <c r="F931" s="2" t="s">
        <v>14</v>
      </c>
      <c r="G931" s="3" t="n">
        <v>10884</v>
      </c>
      <c r="H931" s="2" t="s">
        <v>15</v>
      </c>
      <c r="I931" s="2" t="n">
        <v>1000</v>
      </c>
      <c r="J931" s="4" t="n">
        <f aca="false">IFERROR(E931*I931/D931,"")</f>
        <v>10890.3049613109</v>
      </c>
      <c r="K931" s="5" t="n">
        <f aca="false">IFERROR((J931-G931)/G931,"")</f>
        <v>0.000579287147269188</v>
      </c>
      <c r="L931" s="2" t="str">
        <f aca="false">IF(K931="","",IF(ABS(K931)&gt;0.05,"CHECK","OK"))</f>
        <v>OK</v>
      </c>
    </row>
    <row r="932" customFormat="false" ht="15" hidden="false" customHeight="false" outlineLevel="0" collapsed="false">
      <c r="A932" s="2" t="s">
        <v>32</v>
      </c>
      <c r="B932" s="2" t="n">
        <v>1980</v>
      </c>
      <c r="C932" s="2" t="s">
        <v>90</v>
      </c>
      <c r="D932" s="3" t="n">
        <v>10456</v>
      </c>
      <c r="E932" s="3" t="n">
        <v>87940</v>
      </c>
      <c r="F932" s="2" t="s">
        <v>14</v>
      </c>
      <c r="G932" s="3" t="n">
        <v>8410</v>
      </c>
      <c r="H932" s="2" t="s">
        <v>15</v>
      </c>
      <c r="I932" s="2" t="n">
        <v>1000</v>
      </c>
      <c r="J932" s="4" t="n">
        <f aca="false">IFERROR(E932*I932/D932,"")</f>
        <v>8410.48201989289</v>
      </c>
      <c r="K932" s="5" t="n">
        <f aca="false">IFERROR((J932-G932)/G932,"")</f>
        <v>5.73150883334883E-005</v>
      </c>
      <c r="L932" s="2" t="str">
        <f aca="false">IF(K932="","",IF(ABS(K932)&gt;0.05,"CHECK","OK"))</f>
        <v>OK</v>
      </c>
    </row>
    <row r="933" customFormat="false" ht="15" hidden="false" customHeight="false" outlineLevel="0" collapsed="false">
      <c r="A933" s="2" t="s">
        <v>32</v>
      </c>
      <c r="B933" s="2" t="n">
        <v>1980</v>
      </c>
      <c r="C933" s="2" t="s">
        <v>91</v>
      </c>
      <c r="D933" s="3" t="n">
        <v>22595</v>
      </c>
      <c r="E933" s="3" t="n">
        <v>226250</v>
      </c>
      <c r="F933" s="2" t="s">
        <v>14</v>
      </c>
      <c r="G933" s="3" t="n">
        <v>10013</v>
      </c>
      <c r="H933" s="2" t="s">
        <v>15</v>
      </c>
      <c r="I933" s="2" t="n">
        <v>1000</v>
      </c>
      <c r="J933" s="4" t="n">
        <f aca="false">IFERROR(E933*I933/D933,"")</f>
        <v>10013.2772737331</v>
      </c>
      <c r="K933" s="5" t="n">
        <f aca="false">IFERROR((J933-G933)/G933,"")</f>
        <v>2.76913745258168E-005</v>
      </c>
      <c r="L933" s="2" t="str">
        <f aca="false">IF(K933="","",IF(ABS(K933)&gt;0.05,"CHECK","OK"))</f>
        <v>OK</v>
      </c>
    </row>
    <row r="934" customFormat="false" ht="15" hidden="false" customHeight="false" outlineLevel="0" collapsed="false">
      <c r="A934" s="2" t="s">
        <v>33</v>
      </c>
      <c r="B934" s="2" t="n">
        <v>1981</v>
      </c>
      <c r="C934" s="2" t="s">
        <v>90</v>
      </c>
      <c r="D934" s="3" t="n">
        <v>10131</v>
      </c>
      <c r="E934" s="3" t="n">
        <v>122620</v>
      </c>
      <c r="F934" s="2" t="s">
        <v>14</v>
      </c>
      <c r="G934" s="3" t="n">
        <v>12103</v>
      </c>
      <c r="H934" s="2" t="s">
        <v>15</v>
      </c>
      <c r="I934" s="2" t="n">
        <v>1000</v>
      </c>
      <c r="J934" s="4" t="n">
        <f aca="false">IFERROR(E934*I934/D934,"")</f>
        <v>12103.4448721745</v>
      </c>
      <c r="K934" s="5" t="n">
        <f aca="false">IFERROR((J934-G934)/G934,"")</f>
        <v>3.67571820634451E-005</v>
      </c>
      <c r="L934" s="2" t="str">
        <f aca="false">IF(K934="","",IF(ABS(K934)&gt;0.05,"CHECK","OK"))</f>
        <v>OK</v>
      </c>
    </row>
    <row r="935" customFormat="false" ht="15" hidden="false" customHeight="false" outlineLevel="0" collapsed="false">
      <c r="A935" s="2" t="s">
        <v>33</v>
      </c>
      <c r="B935" s="2" t="n">
        <v>1981</v>
      </c>
      <c r="C935" s="2" t="s">
        <v>91</v>
      </c>
      <c r="D935" s="3" t="n">
        <v>17973</v>
      </c>
      <c r="E935" s="3" t="n">
        <v>181310</v>
      </c>
      <c r="F935" s="2" t="s">
        <v>14</v>
      </c>
      <c r="G935" s="3" t="n">
        <v>10088</v>
      </c>
      <c r="H935" s="2" t="s">
        <v>15</v>
      </c>
      <c r="I935" s="2" t="n">
        <v>1000</v>
      </c>
      <c r="J935" s="4" t="n">
        <f aca="false">IFERROR(E935*I935/D935,"")</f>
        <v>10087.9096422411</v>
      </c>
      <c r="K935" s="5" t="n">
        <f aca="false">IFERROR((J935-G935)/G935,"")</f>
        <v>-8.95695468474244E-006</v>
      </c>
      <c r="L935" s="2" t="str">
        <f aca="false">IF(K935="","",IF(ABS(K935)&gt;0.05,"CHECK","OK"))</f>
        <v>OK</v>
      </c>
    </row>
    <row r="936" customFormat="false" ht="15" hidden="false" customHeight="false" outlineLevel="0" collapsed="false">
      <c r="A936" s="2" t="s">
        <v>34</v>
      </c>
      <c r="B936" s="2" t="n">
        <v>1982</v>
      </c>
      <c r="C936" s="2" t="s">
        <v>90</v>
      </c>
      <c r="D936" s="3" t="n">
        <v>9533</v>
      </c>
      <c r="E936" s="3" t="n">
        <v>71260</v>
      </c>
      <c r="F936" s="2" t="s">
        <v>14</v>
      </c>
      <c r="G936" s="3" t="n">
        <v>7475</v>
      </c>
      <c r="H936" s="2" t="s">
        <v>15</v>
      </c>
      <c r="I936" s="2" t="n">
        <v>1000</v>
      </c>
      <c r="J936" s="4" t="n">
        <f aca="false">IFERROR(E936*I936/D936,"")</f>
        <v>7475.08654148746</v>
      </c>
      <c r="K936" s="5" t="n">
        <f aca="false">IFERROR((J936-G936)/G936,"")</f>
        <v>1.15774565169597E-005</v>
      </c>
      <c r="L936" s="2" t="str">
        <f aca="false">IF(K936="","",IF(ABS(K936)&gt;0.05,"CHECK","OK"))</f>
        <v>OK</v>
      </c>
    </row>
    <row r="937" customFormat="false" ht="15" hidden="false" customHeight="false" outlineLevel="0" collapsed="false">
      <c r="A937" s="2" t="s">
        <v>34</v>
      </c>
      <c r="B937" s="2" t="n">
        <v>1982</v>
      </c>
      <c r="C937" s="2" t="s">
        <v>91</v>
      </c>
      <c r="D937" s="3" t="n">
        <v>18583</v>
      </c>
      <c r="E937" s="3" t="n">
        <v>190560</v>
      </c>
      <c r="F937" s="2" t="s">
        <v>14</v>
      </c>
      <c r="G937" s="3" t="n">
        <v>10253</v>
      </c>
      <c r="H937" s="2" t="s">
        <v>15</v>
      </c>
      <c r="I937" s="2" t="n">
        <v>1000</v>
      </c>
      <c r="J937" s="4" t="n">
        <f aca="false">IFERROR(E937*I937/D937,"")</f>
        <v>10254.5337136092</v>
      </c>
      <c r="K937" s="5" t="n">
        <f aca="false">IFERROR((J937-G937)/G937,"")</f>
        <v>0.000149586814514094</v>
      </c>
      <c r="L937" s="2" t="str">
        <f aca="false">IF(K937="","",IF(ABS(K937)&gt;0.05,"CHECK","OK"))</f>
        <v>OK</v>
      </c>
    </row>
    <row r="938" customFormat="false" ht="15" hidden="false" customHeight="false" outlineLevel="0" collapsed="false">
      <c r="A938" s="2" t="s">
        <v>35</v>
      </c>
      <c r="B938" s="2" t="n">
        <v>1983</v>
      </c>
      <c r="C938" s="2" t="s">
        <v>90</v>
      </c>
      <c r="D938" s="3" t="n">
        <v>9535</v>
      </c>
      <c r="E938" s="3" t="n">
        <v>99620</v>
      </c>
      <c r="F938" s="2" t="s">
        <v>14</v>
      </c>
      <c r="G938" s="3" t="n">
        <v>10449</v>
      </c>
      <c r="H938" s="2" t="s">
        <v>15</v>
      </c>
      <c r="I938" s="2" t="n">
        <v>1000</v>
      </c>
      <c r="J938" s="4" t="n">
        <f aca="false">IFERROR(E938*I938/D938,"")</f>
        <v>10447.8238070267</v>
      </c>
      <c r="K938" s="5" t="n">
        <f aca="false">IFERROR((J938-G938)/G938,"")</f>
        <v>-0.000112565123289937</v>
      </c>
      <c r="L938" s="2" t="str">
        <f aca="false">IF(K938="","",IF(ABS(K938)&gt;0.05,"CHECK","OK"))</f>
        <v>OK</v>
      </c>
    </row>
    <row r="939" customFormat="false" ht="15" hidden="false" customHeight="false" outlineLevel="0" collapsed="false">
      <c r="A939" s="2" t="s">
        <v>35</v>
      </c>
      <c r="B939" s="2" t="n">
        <v>1983</v>
      </c>
      <c r="C939" s="2" t="s">
        <v>91</v>
      </c>
      <c r="D939" s="3" t="n">
        <v>21959</v>
      </c>
      <c r="E939" s="3" t="n">
        <v>176190</v>
      </c>
      <c r="F939" s="2" t="s">
        <v>14</v>
      </c>
      <c r="G939" s="3" t="n">
        <v>8023</v>
      </c>
      <c r="H939" s="2" t="s">
        <v>15</v>
      </c>
      <c r="I939" s="2" t="n">
        <v>1000</v>
      </c>
      <c r="J939" s="4" t="n">
        <f aca="false">IFERROR(E939*I939/D939,"")</f>
        <v>8023.5894166401</v>
      </c>
      <c r="K939" s="5" t="n">
        <f aca="false">IFERROR((J939-G939)/G939,"")</f>
        <v>7.34658656490306E-005</v>
      </c>
      <c r="L939" s="2" t="str">
        <f aca="false">IF(K939="","",IF(ABS(K939)&gt;0.05,"CHECK","OK"))</f>
        <v>OK</v>
      </c>
    </row>
    <row r="940" customFormat="false" ht="15" hidden="false" customHeight="false" outlineLevel="0" collapsed="false">
      <c r="A940" s="2" t="s">
        <v>36</v>
      </c>
      <c r="B940" s="2" t="n">
        <v>1984</v>
      </c>
      <c r="C940" s="2" t="s">
        <v>90</v>
      </c>
      <c r="D940" s="3" t="n">
        <v>8417</v>
      </c>
      <c r="E940" s="3" t="n">
        <v>125300</v>
      </c>
      <c r="F940" s="2" t="s">
        <v>14</v>
      </c>
      <c r="G940" s="3" t="n">
        <v>14887</v>
      </c>
      <c r="H940" s="2" t="s">
        <v>15</v>
      </c>
      <c r="I940" s="2" t="n">
        <v>1000</v>
      </c>
      <c r="J940" s="4" t="n">
        <f aca="false">IFERROR(E940*I940/D940,"")</f>
        <v>14886.5391469645</v>
      </c>
      <c r="K940" s="5" t="n">
        <f aca="false">IFERROR((J940-G940)/G940,"")</f>
        <v>-3.0956743166759E-005</v>
      </c>
      <c r="L940" s="2" t="str">
        <f aca="false">IF(K940="","",IF(ABS(K940)&gt;0.05,"CHECK","OK"))</f>
        <v>OK</v>
      </c>
    </row>
    <row r="941" customFormat="false" ht="15" hidden="false" customHeight="false" outlineLevel="0" collapsed="false">
      <c r="A941" s="2" t="s">
        <v>36</v>
      </c>
      <c r="B941" s="2" t="n">
        <v>1984</v>
      </c>
      <c r="C941" s="2" t="s">
        <v>91</v>
      </c>
      <c r="D941" s="3" t="n">
        <v>23054</v>
      </c>
      <c r="E941" s="3" t="n">
        <v>238030</v>
      </c>
      <c r="F941" s="2" t="s">
        <v>14</v>
      </c>
      <c r="G941" s="3" t="n">
        <v>10326</v>
      </c>
      <c r="H941" s="2" t="s">
        <v>15</v>
      </c>
      <c r="I941" s="2" t="n">
        <v>1000</v>
      </c>
      <c r="J941" s="4" t="n">
        <f aca="false">IFERROR(E941*I941/D941,"")</f>
        <v>10324.8893901275</v>
      </c>
      <c r="K941" s="5" t="n">
        <f aca="false">IFERROR((J941-G941)/G941,"")</f>
        <v>-0.000107554703900253</v>
      </c>
      <c r="L941" s="2" t="str">
        <f aca="false">IF(K941="","",IF(ABS(K941)&gt;0.05,"CHECK","OK"))</f>
        <v>OK</v>
      </c>
    </row>
    <row r="942" customFormat="false" ht="15" hidden="false" customHeight="false" outlineLevel="0" collapsed="false">
      <c r="A942" s="2" t="s">
        <v>37</v>
      </c>
      <c r="B942" s="2" t="n">
        <v>1985</v>
      </c>
      <c r="C942" s="2" t="s">
        <v>90</v>
      </c>
      <c r="D942" s="3" t="n">
        <v>7773</v>
      </c>
      <c r="E942" s="3" t="n">
        <v>133520</v>
      </c>
      <c r="F942" s="2" t="s">
        <v>14</v>
      </c>
      <c r="G942" s="3" t="n">
        <v>17181</v>
      </c>
      <c r="H942" s="2" t="s">
        <v>15</v>
      </c>
      <c r="I942" s="2" t="n">
        <v>1000</v>
      </c>
      <c r="J942" s="4" t="n">
        <f aca="false">IFERROR(E942*I942/D942,"")</f>
        <v>17177.4089798019</v>
      </c>
      <c r="K942" s="5" t="n">
        <f aca="false">IFERROR((J942-G942)/G942,"")</f>
        <v>-0.000209011128462868</v>
      </c>
      <c r="L942" s="2" t="str">
        <f aca="false">IF(K942="","",IF(ABS(K942)&gt;0.05,"CHECK","OK"))</f>
        <v>OK</v>
      </c>
    </row>
    <row r="943" customFormat="false" ht="15" hidden="false" customHeight="false" outlineLevel="0" collapsed="false">
      <c r="A943" s="2" t="s">
        <v>37</v>
      </c>
      <c r="B943" s="2" t="n">
        <v>1985</v>
      </c>
      <c r="C943" s="2" t="s">
        <v>91</v>
      </c>
      <c r="D943" s="3" t="n">
        <v>19774</v>
      </c>
      <c r="E943" s="3" t="n">
        <v>198900</v>
      </c>
      <c r="F943" s="2" t="s">
        <v>14</v>
      </c>
      <c r="G943" s="3" t="n">
        <v>10059</v>
      </c>
      <c r="H943" s="2" t="s">
        <v>15</v>
      </c>
      <c r="I943" s="2" t="n">
        <v>1000</v>
      </c>
      <c r="J943" s="4" t="n">
        <f aca="false">IFERROR(E943*I943/D943,"")</f>
        <v>10058.6628906645</v>
      </c>
      <c r="K943" s="5" t="n">
        <f aca="false">IFERROR((J943-G943)/G943,"")</f>
        <v>-3.35132056358309E-005</v>
      </c>
      <c r="L943" s="2" t="str">
        <f aca="false">IF(K943="","",IF(ABS(K943)&gt;0.05,"CHECK","OK"))</f>
        <v>OK</v>
      </c>
    </row>
    <row r="944" customFormat="false" ht="15" hidden="false" customHeight="false" outlineLevel="0" collapsed="false">
      <c r="A944" s="2" t="s">
        <v>38</v>
      </c>
      <c r="B944" s="2" t="n">
        <v>1986</v>
      </c>
      <c r="C944" s="2" t="s">
        <v>90</v>
      </c>
      <c r="D944" s="3" t="n">
        <v>8336</v>
      </c>
      <c r="E944" s="3" t="n">
        <v>168320</v>
      </c>
      <c r="F944" s="2" t="s">
        <v>14</v>
      </c>
      <c r="G944" s="3" t="n">
        <v>20192</v>
      </c>
      <c r="H944" s="2" t="s">
        <v>15</v>
      </c>
      <c r="I944" s="2" t="n">
        <v>1000</v>
      </c>
      <c r="J944" s="4" t="n">
        <f aca="false">IFERROR(E944*I944/D944,"")</f>
        <v>20191.9385796545</v>
      </c>
      <c r="K944" s="5" t="n">
        <f aca="false">IFERROR((J944-G944)/G944,"")</f>
        <v>-3.04181584240049E-006</v>
      </c>
      <c r="L944" s="2" t="str">
        <f aca="false">IF(K944="","",IF(ABS(K944)&gt;0.05,"CHECK","OK"))</f>
        <v>OK</v>
      </c>
    </row>
    <row r="945" customFormat="false" ht="15" hidden="false" customHeight="false" outlineLevel="0" collapsed="false">
      <c r="A945" s="2" t="s">
        <v>38</v>
      </c>
      <c r="B945" s="2" t="n">
        <v>1986</v>
      </c>
      <c r="C945" s="2" t="s">
        <v>91</v>
      </c>
      <c r="D945" s="3" t="n">
        <v>18004</v>
      </c>
      <c r="E945" s="3" t="n">
        <v>199060</v>
      </c>
      <c r="F945" s="2" t="s">
        <v>14</v>
      </c>
      <c r="G945" s="3" t="n">
        <v>11062</v>
      </c>
      <c r="H945" s="2" t="s">
        <v>15</v>
      </c>
      <c r="I945" s="2" t="n">
        <v>1000</v>
      </c>
      <c r="J945" s="4" t="n">
        <f aca="false">IFERROR(E945*I945/D945,"")</f>
        <v>11056.4319040213</v>
      </c>
      <c r="K945" s="5" t="n">
        <f aca="false">IFERROR((J945-G945)/G945,"")</f>
        <v>-0.000503353460375286</v>
      </c>
      <c r="L945" s="2" t="str">
        <f aca="false">IF(K945="","",IF(ABS(K945)&gt;0.05,"CHECK","OK"))</f>
        <v>OK</v>
      </c>
    </row>
    <row r="946" customFormat="false" ht="15" hidden="false" customHeight="false" outlineLevel="0" collapsed="false">
      <c r="A946" s="2" t="s">
        <v>39</v>
      </c>
      <c r="B946" s="2" t="n">
        <v>1987</v>
      </c>
      <c r="C946" s="2" t="s">
        <v>90</v>
      </c>
      <c r="D946" s="3" t="n">
        <v>8728</v>
      </c>
      <c r="E946" s="3" t="n">
        <v>209680</v>
      </c>
      <c r="F946" s="2" t="s">
        <v>14</v>
      </c>
      <c r="G946" s="3" t="n">
        <v>24024</v>
      </c>
      <c r="H946" s="2" t="s">
        <v>15</v>
      </c>
      <c r="I946" s="2" t="n">
        <v>1000</v>
      </c>
      <c r="J946" s="4" t="n">
        <f aca="false">IFERROR(E946*I946/D946,"")</f>
        <v>24023.8313473877</v>
      </c>
      <c r="K946" s="5" t="n">
        <f aca="false">IFERROR((J946-G946)/G946,"")</f>
        <v>-7.02017200645355E-006</v>
      </c>
      <c r="L946" s="2" t="str">
        <f aca="false">IF(K946="","",IF(ABS(K946)&gt;0.05,"CHECK","OK"))</f>
        <v>OK</v>
      </c>
    </row>
    <row r="947" customFormat="false" ht="15" hidden="false" customHeight="false" outlineLevel="0" collapsed="false">
      <c r="A947" s="2" t="s">
        <v>39</v>
      </c>
      <c r="B947" s="2" t="n">
        <v>1987</v>
      </c>
      <c r="C947" s="2" t="s">
        <v>91</v>
      </c>
      <c r="D947" s="3" t="n">
        <v>19457</v>
      </c>
      <c r="E947" s="3" t="n">
        <v>211940</v>
      </c>
      <c r="F947" s="2" t="s">
        <v>14</v>
      </c>
      <c r="G947" s="3" t="n">
        <v>10893</v>
      </c>
      <c r="H947" s="2" t="s">
        <v>15</v>
      </c>
      <c r="I947" s="2" t="n">
        <v>1000</v>
      </c>
      <c r="J947" s="4" t="n">
        <f aca="false">IFERROR(E947*I947/D947,"")</f>
        <v>10892.7378321427</v>
      </c>
      <c r="K947" s="5" t="n">
        <f aca="false">IFERROR((J947-G947)/G947,"")</f>
        <v>-2.40675532293086E-005</v>
      </c>
      <c r="L947" s="2" t="str">
        <f aca="false">IF(K947="","",IF(ABS(K947)&gt;0.05,"CHECK","OK"))</f>
        <v>OK</v>
      </c>
    </row>
    <row r="948" customFormat="false" ht="15" hidden="false" customHeight="false" outlineLevel="0" collapsed="false">
      <c r="A948" s="2" t="s">
        <v>40</v>
      </c>
      <c r="B948" s="2" t="n">
        <v>1988</v>
      </c>
      <c r="C948" s="2" t="s">
        <v>90</v>
      </c>
      <c r="D948" s="3" t="n">
        <v>6799</v>
      </c>
      <c r="E948" s="3" t="n">
        <v>116830</v>
      </c>
      <c r="F948" s="2" t="s">
        <v>14</v>
      </c>
      <c r="G948" s="3" t="n">
        <v>17183</v>
      </c>
      <c r="H948" s="2" t="s">
        <v>15</v>
      </c>
      <c r="I948" s="2" t="n">
        <v>1000</v>
      </c>
      <c r="J948" s="4" t="n">
        <f aca="false">IFERROR(E948*I948/D948,"")</f>
        <v>17183.4093249007</v>
      </c>
      <c r="K948" s="5" t="n">
        <f aca="false">IFERROR((J948-G948)/G948,"")</f>
        <v>2.38215038538145E-005</v>
      </c>
      <c r="L948" s="2" t="str">
        <f aca="false">IF(K948="","",IF(ABS(K948)&gt;0.05,"CHECK","OK"))</f>
        <v>OK</v>
      </c>
    </row>
    <row r="949" customFormat="false" ht="15" hidden="false" customHeight="false" outlineLevel="0" collapsed="false">
      <c r="A949" s="2" t="s">
        <v>40</v>
      </c>
      <c r="B949" s="2" t="n">
        <v>1988</v>
      </c>
      <c r="C949" s="2" t="s">
        <v>91</v>
      </c>
      <c r="D949" s="3" t="n">
        <v>22617</v>
      </c>
      <c r="E949" s="3" t="n">
        <v>232740</v>
      </c>
      <c r="F949" s="2" t="s">
        <v>14</v>
      </c>
      <c r="G949" s="3" t="n">
        <v>10290</v>
      </c>
      <c r="H949" s="2" t="s">
        <v>15</v>
      </c>
      <c r="I949" s="2" t="n">
        <v>1000</v>
      </c>
      <c r="J949" s="4" t="n">
        <f aca="false">IFERROR(E949*I949/D949,"")</f>
        <v>10290.4894548349</v>
      </c>
      <c r="K949" s="5" t="n">
        <f aca="false">IFERROR((J949-G949)/G949,"")</f>
        <v>4.7566067527542E-005</v>
      </c>
      <c r="L949" s="2" t="str">
        <f aca="false">IF(K949="","",IF(ABS(K949)&gt;0.05,"CHECK","OK"))</f>
        <v>OK</v>
      </c>
    </row>
    <row r="950" customFormat="false" ht="15" hidden="false" customHeight="false" outlineLevel="0" collapsed="false">
      <c r="A950" s="2" t="s">
        <v>41</v>
      </c>
      <c r="B950" s="2" t="n">
        <v>1989</v>
      </c>
      <c r="C950" s="2" t="s">
        <v>90</v>
      </c>
      <c r="D950" s="3" t="n">
        <v>8680</v>
      </c>
      <c r="E950" s="3" t="n">
        <v>159900</v>
      </c>
      <c r="F950" s="2" t="s">
        <v>14</v>
      </c>
      <c r="G950" s="3" t="n">
        <v>18421</v>
      </c>
      <c r="H950" s="2" t="s">
        <v>15</v>
      </c>
      <c r="I950" s="2" t="n">
        <v>1000</v>
      </c>
      <c r="J950" s="4" t="n">
        <f aca="false">IFERROR(E950*I950/D950,"")</f>
        <v>18421.6589861751</v>
      </c>
      <c r="K950" s="5" t="n">
        <f aca="false">IFERROR((J950-G950)/G950,"")</f>
        <v>3.57736374309917E-005</v>
      </c>
      <c r="L950" s="2" t="str">
        <f aca="false">IF(K950="","",IF(ABS(K950)&gt;0.05,"CHECK","OK"))</f>
        <v>OK</v>
      </c>
    </row>
    <row r="951" customFormat="false" ht="15" hidden="false" customHeight="false" outlineLevel="0" collapsed="false">
      <c r="A951" s="2" t="s">
        <v>41</v>
      </c>
      <c r="B951" s="2" t="n">
        <v>1989</v>
      </c>
      <c r="C951" s="2" t="s">
        <v>91</v>
      </c>
      <c r="D951" s="3" t="n">
        <v>24572</v>
      </c>
      <c r="E951" s="3" t="n">
        <v>234490</v>
      </c>
      <c r="F951" s="2" t="s">
        <v>14</v>
      </c>
      <c r="G951" s="3" t="n">
        <v>9542</v>
      </c>
      <c r="H951" s="2" t="s">
        <v>15</v>
      </c>
      <c r="I951" s="2" t="n">
        <v>1000</v>
      </c>
      <c r="J951" s="4" t="n">
        <f aca="false">IFERROR(E951*I951/D951,"")</f>
        <v>9542.97574475012</v>
      </c>
      <c r="K951" s="5" t="n">
        <f aca="false">IFERROR((J951-G951)/G951,"")</f>
        <v>0.000102257886200117</v>
      </c>
      <c r="L951" s="2" t="str">
        <f aca="false">IF(K951="","",IF(ABS(K951)&gt;0.05,"CHECK","OK"))</f>
        <v>OK</v>
      </c>
    </row>
    <row r="952" customFormat="false" ht="15" hidden="false" customHeight="false" outlineLevel="0" collapsed="false">
      <c r="A952" s="2" t="s">
        <v>42</v>
      </c>
      <c r="B952" s="2" t="n">
        <v>1990</v>
      </c>
      <c r="C952" s="2" t="s">
        <v>90</v>
      </c>
      <c r="D952" s="3" t="n">
        <v>5310</v>
      </c>
      <c r="E952" s="3" t="n">
        <v>115730</v>
      </c>
      <c r="F952" s="2" t="s">
        <v>14</v>
      </c>
      <c r="G952" s="3" t="n">
        <v>21795</v>
      </c>
      <c r="H952" s="2" t="s">
        <v>15</v>
      </c>
      <c r="I952" s="2" t="n">
        <v>1000</v>
      </c>
      <c r="J952" s="4" t="n">
        <f aca="false">IFERROR(E952*I952/D952,"")</f>
        <v>21794.7269303202</v>
      </c>
      <c r="K952" s="5" t="n">
        <f aca="false">IFERROR((J952-G952)/G952,"")</f>
        <v>-1.2529005728372E-005</v>
      </c>
      <c r="L952" s="2" t="str">
        <f aca="false">IF(K952="","",IF(ABS(K952)&gt;0.05,"CHECK","OK"))</f>
        <v>OK</v>
      </c>
    </row>
    <row r="953" customFormat="false" ht="15" hidden="false" customHeight="false" outlineLevel="0" collapsed="false">
      <c r="A953" s="2" t="s">
        <v>42</v>
      </c>
      <c r="B953" s="2" t="n">
        <v>1990</v>
      </c>
      <c r="C953" s="2" t="s">
        <v>91</v>
      </c>
      <c r="D953" s="3" t="n">
        <v>22185</v>
      </c>
      <c r="E953" s="3" t="n">
        <v>192080</v>
      </c>
      <c r="F953" s="2" t="s">
        <v>14</v>
      </c>
      <c r="G953" s="3" t="n">
        <v>8658</v>
      </c>
      <c r="H953" s="2" t="s">
        <v>15</v>
      </c>
      <c r="I953" s="2" t="n">
        <v>1000</v>
      </c>
      <c r="J953" s="4" t="n">
        <f aca="false">IFERROR(E953*I953/D953,"")</f>
        <v>8658.10232138833</v>
      </c>
      <c r="K953" s="5" t="n">
        <f aca="false">IFERROR((J953-G953)/G953,"")</f>
        <v>1.181813216972E-005</v>
      </c>
      <c r="L953" s="2" t="str">
        <f aca="false">IF(K953="","",IF(ABS(K953)&gt;0.05,"CHECK","OK"))</f>
        <v>OK</v>
      </c>
    </row>
    <row r="954" customFormat="false" ht="15" hidden="false" customHeight="false" outlineLevel="0" collapsed="false">
      <c r="A954" s="2" t="s">
        <v>43</v>
      </c>
      <c r="B954" s="2" t="n">
        <v>1991</v>
      </c>
      <c r="C954" s="2" t="s">
        <v>90</v>
      </c>
      <c r="D954" s="3" t="n">
        <v>4917</v>
      </c>
      <c r="E954" s="3" t="n">
        <v>113560</v>
      </c>
      <c r="F954" s="2" t="s">
        <v>14</v>
      </c>
      <c r="G954" s="3" t="n">
        <v>23096</v>
      </c>
      <c r="H954" s="2" t="s">
        <v>15</v>
      </c>
      <c r="I954" s="2" t="n">
        <v>1000</v>
      </c>
      <c r="J954" s="4" t="n">
        <f aca="false">IFERROR(E954*I954/D954,"")</f>
        <v>23095.3833638397</v>
      </c>
      <c r="K954" s="5" t="n">
        <f aca="false">IFERROR((J954-G954)/G954,"")</f>
        <v>-2.66988292457169E-005</v>
      </c>
      <c r="L954" s="2" t="str">
        <f aca="false">IF(K954="","",IF(ABS(K954)&gt;0.05,"CHECK","OK"))</f>
        <v>OK</v>
      </c>
    </row>
    <row r="955" customFormat="false" ht="15" hidden="false" customHeight="false" outlineLevel="0" collapsed="false">
      <c r="A955" s="2" t="s">
        <v>43</v>
      </c>
      <c r="B955" s="2" t="n">
        <v>1991</v>
      </c>
      <c r="C955" s="2" t="s">
        <v>91</v>
      </c>
      <c r="D955" s="3" t="n">
        <v>26630</v>
      </c>
      <c r="E955" s="3" t="n">
        <v>212090</v>
      </c>
      <c r="F955" s="2" t="s">
        <v>14</v>
      </c>
      <c r="G955" s="3" t="n">
        <v>7964</v>
      </c>
      <c r="H955" s="2" t="s">
        <v>15</v>
      </c>
      <c r="I955" s="2" t="n">
        <v>1000</v>
      </c>
      <c r="J955" s="4" t="n">
        <f aca="false">IFERROR(E955*I955/D955,"")</f>
        <v>7964.32594817875</v>
      </c>
      <c r="K955" s="5" t="n">
        <f aca="false">IFERROR((J955-G955)/G955,"")</f>
        <v>4.09276969795857E-005</v>
      </c>
      <c r="L955" s="2" t="str">
        <f aca="false">IF(K955="","",IF(ABS(K955)&gt;0.05,"CHECK","OK"))</f>
        <v>OK</v>
      </c>
    </row>
    <row r="956" customFormat="false" ht="15" hidden="false" customHeight="false" outlineLevel="0" collapsed="false">
      <c r="A956" s="2" t="s">
        <v>44</v>
      </c>
      <c r="B956" s="2" t="n">
        <v>1992</v>
      </c>
      <c r="C956" s="2" t="s">
        <v>90</v>
      </c>
      <c r="D956" s="3" t="n">
        <v>5411</v>
      </c>
      <c r="E956" s="3" t="n">
        <v>125120</v>
      </c>
      <c r="F956" s="2" t="s">
        <v>14</v>
      </c>
      <c r="G956" s="3" t="n">
        <v>23123</v>
      </c>
      <c r="H956" s="2" t="s">
        <v>15</v>
      </c>
      <c r="I956" s="2" t="n">
        <v>1000</v>
      </c>
      <c r="J956" s="4" t="n">
        <f aca="false">IFERROR(E956*I956/D956,"")</f>
        <v>23123.2674182221</v>
      </c>
      <c r="K956" s="5" t="n">
        <f aca="false">IFERROR((J956-G956)/G956,"")</f>
        <v>1.15650314466857E-005</v>
      </c>
      <c r="L956" s="2" t="str">
        <f aca="false">IF(K956="","",IF(ABS(K956)&gt;0.05,"CHECK","OK"))</f>
        <v>OK</v>
      </c>
    </row>
    <row r="957" customFormat="false" ht="15" hidden="false" customHeight="false" outlineLevel="0" collapsed="false">
      <c r="A957" s="2" t="s">
        <v>44</v>
      </c>
      <c r="B957" s="2" t="n">
        <v>1992</v>
      </c>
      <c r="C957" s="2" t="s">
        <v>91</v>
      </c>
      <c r="D957" s="3" t="n">
        <v>22278</v>
      </c>
      <c r="E957" s="3" t="n">
        <v>185400</v>
      </c>
      <c r="F957" s="2" t="s">
        <v>14</v>
      </c>
      <c r="G957" s="3" t="n">
        <v>8321</v>
      </c>
      <c r="H957" s="2" t="s">
        <v>15</v>
      </c>
      <c r="I957" s="2" t="n">
        <v>1000</v>
      </c>
      <c r="J957" s="4" t="n">
        <f aca="false">IFERROR(E957*I957/D957,"")</f>
        <v>8322.11150013466</v>
      </c>
      <c r="K957" s="5" t="n">
        <f aca="false">IFERROR((J957-G957)/G957,"")</f>
        <v>0.000133577711172034</v>
      </c>
      <c r="L957" s="2" t="str">
        <f aca="false">IF(K957="","",IF(ABS(K957)&gt;0.05,"CHECK","OK"))</f>
        <v>OK</v>
      </c>
    </row>
    <row r="958" customFormat="false" ht="15" hidden="false" customHeight="false" outlineLevel="0" collapsed="false">
      <c r="A958" s="2" t="s">
        <v>45</v>
      </c>
      <c r="B958" s="2" t="n">
        <v>1993</v>
      </c>
      <c r="C958" s="2" t="s">
        <v>90</v>
      </c>
      <c r="D958" s="3" t="n">
        <v>5816</v>
      </c>
      <c r="E958" s="3" t="n">
        <v>128360</v>
      </c>
      <c r="F958" s="2" t="s">
        <v>14</v>
      </c>
      <c r="G958" s="3" t="n">
        <v>22084</v>
      </c>
      <c r="H958" s="2" t="s">
        <v>15</v>
      </c>
      <c r="I958" s="2" t="n">
        <v>1000</v>
      </c>
      <c r="J958" s="4" t="n">
        <f aca="false">IFERROR(E958*I958/D958,"")</f>
        <v>22070.15130674</v>
      </c>
      <c r="K958" s="5" t="n">
        <f aca="false">IFERROR((J958-G958)/G958,"")</f>
        <v>-0.000627091707117077</v>
      </c>
      <c r="L958" s="2" t="str">
        <f aca="false">IF(K958="","",IF(ABS(K958)&gt;0.05,"CHECK","OK"))</f>
        <v>OK</v>
      </c>
    </row>
    <row r="959" customFormat="false" ht="15" hidden="false" customHeight="false" outlineLevel="0" collapsed="false">
      <c r="A959" s="2" t="s">
        <v>45</v>
      </c>
      <c r="B959" s="2" t="n">
        <v>1993</v>
      </c>
      <c r="C959" s="2" t="s">
        <v>91</v>
      </c>
      <c r="D959" s="3" t="n">
        <v>24596</v>
      </c>
      <c r="E959" s="3" t="n">
        <v>197840</v>
      </c>
      <c r="F959" s="2" t="s">
        <v>14</v>
      </c>
      <c r="G959" s="3" t="n">
        <v>8044</v>
      </c>
      <c r="H959" s="2" t="s">
        <v>15</v>
      </c>
      <c r="I959" s="2" t="n">
        <v>1000</v>
      </c>
      <c r="J959" s="4" t="n">
        <f aca="false">IFERROR(E959*I959/D959,"")</f>
        <v>8043.58432265409</v>
      </c>
      <c r="K959" s="5" t="n">
        <f aca="false">IFERROR((J959-G959)/G959,"")</f>
        <v>-5.1675453245885E-005</v>
      </c>
      <c r="L959" s="2" t="str">
        <f aca="false">IF(K959="","",IF(ABS(K959)&gt;0.05,"CHECK","OK"))</f>
        <v>OK</v>
      </c>
    </row>
    <row r="960" customFormat="false" ht="15" hidden="false" customHeight="false" outlineLevel="0" collapsed="false">
      <c r="A960" s="2" t="s">
        <v>46</v>
      </c>
      <c r="B960" s="2" t="n">
        <v>1994</v>
      </c>
      <c r="C960" s="2" t="s">
        <v>90</v>
      </c>
      <c r="D960" s="3" t="n">
        <v>4781</v>
      </c>
      <c r="E960" s="3" t="n">
        <v>83790</v>
      </c>
      <c r="F960" s="2" t="s">
        <v>14</v>
      </c>
      <c r="G960" s="3" t="n">
        <v>17526</v>
      </c>
      <c r="H960" s="2" t="s">
        <v>15</v>
      </c>
      <c r="I960" s="2" t="n">
        <v>1000</v>
      </c>
      <c r="J960" s="4" t="n">
        <f aca="false">IFERROR(E960*I960/D960,"")</f>
        <v>17525.6222547584</v>
      </c>
      <c r="K960" s="5" t="n">
        <f aca="false">IFERROR((J960-G960)/G960,"")</f>
        <v>-2.15534201518646E-005</v>
      </c>
      <c r="L960" s="2" t="str">
        <f aca="false">IF(K960="","",IF(ABS(K960)&gt;0.05,"CHECK","OK"))</f>
        <v>OK</v>
      </c>
    </row>
    <row r="961" customFormat="false" ht="15" hidden="false" customHeight="false" outlineLevel="0" collapsed="false">
      <c r="A961" s="2" t="s">
        <v>46</v>
      </c>
      <c r="B961" s="2" t="n">
        <v>1994</v>
      </c>
      <c r="C961" s="2" t="s">
        <v>91</v>
      </c>
      <c r="D961" s="3" t="n">
        <v>28488</v>
      </c>
      <c r="E961" s="3" t="n">
        <v>294270</v>
      </c>
      <c r="F961" s="2" t="s">
        <v>14</v>
      </c>
      <c r="G961" s="3" t="n">
        <v>10330</v>
      </c>
      <c r="H961" s="2" t="s">
        <v>15</v>
      </c>
      <c r="I961" s="2" t="n">
        <v>1000</v>
      </c>
      <c r="J961" s="4" t="n">
        <f aca="false">IFERROR(E961*I961/D961,"")</f>
        <v>10329.6124684078</v>
      </c>
      <c r="K961" s="5" t="n">
        <f aca="false">IFERROR((J961-G961)/G961,"")</f>
        <v>-3.75151589785776E-005</v>
      </c>
      <c r="L961" s="2" t="str">
        <f aca="false">IF(K961="","",IF(ABS(K961)&gt;0.05,"CHECK","OK"))</f>
        <v>OK</v>
      </c>
    </row>
    <row r="962" customFormat="false" ht="15" hidden="false" customHeight="false" outlineLevel="0" collapsed="false">
      <c r="A962" s="2" t="s">
        <v>47</v>
      </c>
      <c r="B962" s="2" t="n">
        <v>1995</v>
      </c>
      <c r="C962" s="2" t="s">
        <v>90</v>
      </c>
      <c r="D962" s="3" t="n">
        <v>3802</v>
      </c>
      <c r="E962" s="3" t="n">
        <v>82160</v>
      </c>
      <c r="F962" s="2" t="s">
        <v>14</v>
      </c>
      <c r="G962" s="3" t="n">
        <v>21610</v>
      </c>
      <c r="H962" s="2" t="s">
        <v>15</v>
      </c>
      <c r="I962" s="2" t="n">
        <v>1000</v>
      </c>
      <c r="J962" s="4" t="n">
        <f aca="false">IFERROR(E962*I962/D962,"")</f>
        <v>21609.6791162546</v>
      </c>
      <c r="K962" s="5" t="n">
        <f aca="false">IFERROR((J962-G962)/G962,"")</f>
        <v>-1.48488544838831E-005</v>
      </c>
      <c r="L962" s="2" t="str">
        <f aca="false">IF(K962="","",IF(ABS(K962)&gt;0.05,"CHECK","OK"))</f>
        <v>OK</v>
      </c>
    </row>
    <row r="963" customFormat="false" ht="15" hidden="false" customHeight="false" outlineLevel="0" collapsed="false">
      <c r="A963" s="2" t="s">
        <v>47</v>
      </c>
      <c r="B963" s="2" t="n">
        <v>1995</v>
      </c>
      <c r="C963" s="2" t="s">
        <v>91</v>
      </c>
      <c r="D963" s="3" t="n">
        <v>21439</v>
      </c>
      <c r="E963" s="3" t="n">
        <v>231530</v>
      </c>
      <c r="F963" s="2" t="s">
        <v>14</v>
      </c>
      <c r="G963" s="3" t="n">
        <v>10799</v>
      </c>
      <c r="H963" s="2" t="s">
        <v>15</v>
      </c>
      <c r="I963" s="2" t="n">
        <v>1000</v>
      </c>
      <c r="J963" s="4" t="n">
        <f aca="false">IFERROR(E963*I963/D963,"")</f>
        <v>10799.477587574</v>
      </c>
      <c r="K963" s="5" t="n">
        <f aca="false">IFERROR((J963-G963)/G963,"")</f>
        <v>4.42251665938506E-005</v>
      </c>
      <c r="L963" s="2" t="str">
        <f aca="false">IF(K963="","",IF(ABS(K963)&gt;0.05,"CHECK","OK"))</f>
        <v>OK</v>
      </c>
    </row>
    <row r="964" customFormat="false" ht="15" hidden="false" customHeight="false" outlineLevel="0" collapsed="false">
      <c r="A964" s="2" t="s">
        <v>48</v>
      </c>
      <c r="B964" s="2" t="n">
        <v>1996</v>
      </c>
      <c r="C964" s="2" t="s">
        <v>90</v>
      </c>
      <c r="D964" s="3" t="n">
        <v>4279</v>
      </c>
      <c r="E964" s="3" t="n">
        <v>83050</v>
      </c>
      <c r="F964" s="2" t="s">
        <v>14</v>
      </c>
      <c r="G964" s="3" t="n">
        <v>19409</v>
      </c>
      <c r="H964" s="2" t="s">
        <v>15</v>
      </c>
      <c r="I964" s="2" t="n">
        <v>1000</v>
      </c>
      <c r="J964" s="4" t="n">
        <f aca="false">IFERROR(E964*I964/D964,"")</f>
        <v>19408.7403598972</v>
      </c>
      <c r="K964" s="5" t="n">
        <f aca="false">IFERROR((J964-G964)/G964,"")</f>
        <v>-1.33773044890354E-005</v>
      </c>
      <c r="L964" s="2" t="str">
        <f aca="false">IF(K964="","",IF(ABS(K964)&gt;0.05,"CHECK","OK"))</f>
        <v>OK</v>
      </c>
    </row>
    <row r="965" customFormat="false" ht="15" hidden="false" customHeight="false" outlineLevel="0" collapsed="false">
      <c r="A965" s="2" t="s">
        <v>48</v>
      </c>
      <c r="B965" s="2" t="n">
        <v>1996</v>
      </c>
      <c r="C965" s="2" t="s">
        <v>91</v>
      </c>
      <c r="D965" s="3" t="n">
        <v>24866</v>
      </c>
      <c r="E965" s="3" t="n">
        <v>210180</v>
      </c>
      <c r="F965" s="2" t="s">
        <v>14</v>
      </c>
      <c r="G965" s="3" t="n">
        <v>8453</v>
      </c>
      <c r="H965" s="2" t="s">
        <v>15</v>
      </c>
      <c r="I965" s="2" t="n">
        <v>1000</v>
      </c>
      <c r="J965" s="4" t="n">
        <f aca="false">IFERROR(E965*I965/D965,"")</f>
        <v>8452.50542909998</v>
      </c>
      <c r="K965" s="5" t="n">
        <f aca="false">IFERROR((J965-G965)/G965,"")</f>
        <v>-5.85083284069529E-005</v>
      </c>
      <c r="L965" s="2" t="str">
        <f aca="false">IF(K965="","",IF(ABS(K965)&gt;0.05,"CHECK","OK"))</f>
        <v>OK</v>
      </c>
    </row>
    <row r="966" customFormat="false" ht="15" hidden="false" customHeight="false" outlineLevel="0" collapsed="false">
      <c r="A966" s="2" t="s">
        <v>49</v>
      </c>
      <c r="B966" s="2" t="n">
        <v>1997</v>
      </c>
      <c r="C966" s="2" t="s">
        <v>90</v>
      </c>
      <c r="D966" s="3" t="n">
        <v>5571</v>
      </c>
      <c r="E966" s="3" t="n">
        <v>90180</v>
      </c>
      <c r="F966" s="2" t="s">
        <v>14</v>
      </c>
      <c r="G966" s="3" t="n">
        <v>16187</v>
      </c>
      <c r="H966" s="2" t="s">
        <v>15</v>
      </c>
      <c r="I966" s="2" t="n">
        <v>1000</v>
      </c>
      <c r="J966" s="4" t="n">
        <f aca="false">IFERROR(E966*I966/D966,"")</f>
        <v>16187.3990306947</v>
      </c>
      <c r="K966" s="5" t="n">
        <f aca="false">IFERROR((J966-G966)/G966,"")</f>
        <v>2.4651306274721E-005</v>
      </c>
      <c r="L966" s="2" t="str">
        <f aca="false">IF(K966="","",IF(ABS(K966)&gt;0.05,"CHECK","OK"))</f>
        <v>OK</v>
      </c>
    </row>
    <row r="967" customFormat="false" ht="15" hidden="false" customHeight="false" outlineLevel="0" collapsed="false">
      <c r="A967" s="2" t="s">
        <v>49</v>
      </c>
      <c r="B967" s="2" t="n">
        <v>1997</v>
      </c>
      <c r="C967" s="2" t="s">
        <v>91</v>
      </c>
      <c r="D967" s="3" t="n">
        <v>24757</v>
      </c>
      <c r="E967" s="3" t="n">
        <v>187690</v>
      </c>
      <c r="F967" s="2" t="s">
        <v>14</v>
      </c>
      <c r="G967" s="3" t="n">
        <v>7581</v>
      </c>
      <c r="H967" s="2" t="s">
        <v>15</v>
      </c>
      <c r="I967" s="2" t="n">
        <v>1000</v>
      </c>
      <c r="J967" s="4" t="n">
        <f aca="false">IFERROR(E967*I967/D967,"")</f>
        <v>7581.29014016238</v>
      </c>
      <c r="K967" s="5" t="n">
        <f aca="false">IFERROR((J967-G967)/G967,"")</f>
        <v>3.82720171980636E-005</v>
      </c>
      <c r="L967" s="2" t="str">
        <f aca="false">IF(K967="","",IF(ABS(K967)&gt;0.05,"CHECK","OK"))</f>
        <v>OK</v>
      </c>
    </row>
    <row r="968" customFormat="false" ht="15" hidden="false" customHeight="false" outlineLevel="0" collapsed="false">
      <c r="A968" s="2" t="s">
        <v>50</v>
      </c>
      <c r="B968" s="2" t="n">
        <v>1998</v>
      </c>
      <c r="C968" s="2" t="s">
        <v>90</v>
      </c>
      <c r="D968" s="3" t="n">
        <v>5518</v>
      </c>
      <c r="E968" s="3" t="n">
        <v>99620</v>
      </c>
      <c r="F968" s="2" t="s">
        <v>14</v>
      </c>
      <c r="G968" s="3" t="n">
        <v>18054</v>
      </c>
      <c r="H968" s="2" t="s">
        <v>15</v>
      </c>
      <c r="I968" s="2" t="n">
        <v>1000</v>
      </c>
      <c r="J968" s="4" t="n">
        <f aca="false">IFERROR(E968*I968/D968,"")</f>
        <v>18053.6426241392</v>
      </c>
      <c r="K968" s="5" t="n">
        <f aca="false">IFERROR((J968-G968)/G968,"")</f>
        <v>-1.97948299998969E-005</v>
      </c>
      <c r="L968" s="2" t="str">
        <f aca="false">IF(K968="","",IF(ABS(K968)&gt;0.05,"CHECK","OK"))</f>
        <v>OK</v>
      </c>
    </row>
    <row r="969" customFormat="false" ht="15" hidden="false" customHeight="false" outlineLevel="0" collapsed="false">
      <c r="A969" s="2" t="s">
        <v>50</v>
      </c>
      <c r="B969" s="2" t="n">
        <v>1998</v>
      </c>
      <c r="C969" s="2" t="s">
        <v>91</v>
      </c>
      <c r="D969" s="3" t="n">
        <v>31728</v>
      </c>
      <c r="E969" s="3" t="n">
        <v>260810</v>
      </c>
      <c r="F969" s="2" t="s">
        <v>14</v>
      </c>
      <c r="G969" s="3" t="n">
        <v>8220</v>
      </c>
      <c r="H969" s="2" t="s">
        <v>15</v>
      </c>
      <c r="I969" s="2" t="n">
        <v>1000</v>
      </c>
      <c r="J969" s="4" t="n">
        <f aca="false">IFERROR(E969*I969/D969,"")</f>
        <v>8220.18406454867</v>
      </c>
      <c r="K969" s="5" t="n">
        <f aca="false">IFERROR((J969-G969)/G969,"")</f>
        <v>2.23922808594327E-005</v>
      </c>
      <c r="L969" s="2" t="str">
        <f aca="false">IF(K969="","",IF(ABS(K969)&gt;0.05,"CHECK","OK"))</f>
        <v>OK</v>
      </c>
    </row>
    <row r="970" customFormat="false" ht="15" hidden="false" customHeight="false" outlineLevel="0" collapsed="false">
      <c r="A970" s="2" t="s">
        <v>51</v>
      </c>
      <c r="B970" s="2" t="n">
        <v>1999</v>
      </c>
      <c r="C970" s="2" t="s">
        <v>90</v>
      </c>
      <c r="D970" s="3" t="n">
        <v>5640</v>
      </c>
      <c r="E970" s="3" t="n">
        <v>97250</v>
      </c>
      <c r="F970" s="2" t="s">
        <v>14</v>
      </c>
      <c r="G970" s="3" t="n">
        <v>17243</v>
      </c>
      <c r="H970" s="2" t="s">
        <v>15</v>
      </c>
      <c r="I970" s="2" t="n">
        <v>1000</v>
      </c>
      <c r="J970" s="4" t="n">
        <f aca="false">IFERROR(E970*I970/D970,"")</f>
        <v>17242.9078014184</v>
      </c>
      <c r="K970" s="5" t="n">
        <f aca="false">IFERROR((J970-G970)/G970,"")</f>
        <v>-5.34701511097127E-006</v>
      </c>
      <c r="L970" s="2" t="str">
        <f aca="false">IF(K970="","",IF(ABS(K970)&gt;0.05,"CHECK","OK"))</f>
        <v>OK</v>
      </c>
    </row>
    <row r="971" customFormat="false" ht="15" hidden="false" customHeight="false" outlineLevel="0" collapsed="false">
      <c r="A971" s="2" t="s">
        <v>51</v>
      </c>
      <c r="B971" s="2" t="n">
        <v>1999</v>
      </c>
      <c r="C971" s="2" t="s">
        <v>91</v>
      </c>
      <c r="D971" s="3" t="n">
        <v>35280</v>
      </c>
      <c r="E971" s="3" t="n">
        <v>315080</v>
      </c>
      <c r="F971" s="2" t="s">
        <v>14</v>
      </c>
      <c r="G971" s="3" t="n">
        <v>8931</v>
      </c>
      <c r="H971" s="2" t="s">
        <v>15</v>
      </c>
      <c r="I971" s="2" t="n">
        <v>1000</v>
      </c>
      <c r="J971" s="4" t="n">
        <f aca="false">IFERROR(E971*I971/D971,"")</f>
        <v>8930.83900226757</v>
      </c>
      <c r="K971" s="5" t="n">
        <f aca="false">IFERROR((J971-G971)/G971,"")</f>
        <v>-1.80268427304938E-005</v>
      </c>
      <c r="L971" s="2" t="str">
        <f aca="false">IF(K971="","",IF(ABS(K971)&gt;0.05,"CHECK","OK"))</f>
        <v>OK</v>
      </c>
    </row>
    <row r="972" customFormat="false" ht="15" hidden="false" customHeight="false" outlineLevel="0" collapsed="false">
      <c r="A972" s="2" t="s">
        <v>52</v>
      </c>
      <c r="B972" s="2" t="n">
        <v>2000</v>
      </c>
      <c r="C972" s="2" t="s">
        <v>90</v>
      </c>
      <c r="D972" s="3" t="n">
        <v>5570</v>
      </c>
      <c r="E972" s="3" t="n">
        <v>103288</v>
      </c>
      <c r="F972" s="2" t="s">
        <v>14</v>
      </c>
      <c r="G972" s="3" t="n">
        <v>18544</v>
      </c>
      <c r="H972" s="2" t="s">
        <v>15</v>
      </c>
      <c r="I972" s="2" t="n">
        <v>1000</v>
      </c>
      <c r="J972" s="4" t="n">
        <f aca="false">IFERROR(E972*I972/D972,"")</f>
        <v>18543.6265709156</v>
      </c>
      <c r="K972" s="5" t="n">
        <f aca="false">IFERROR((J972-G972)/G972,"")</f>
        <v>-2.01374614097403E-005</v>
      </c>
      <c r="L972" s="2" t="str">
        <f aca="false">IF(K972="","",IF(ABS(K972)&gt;0.05,"CHECK","OK"))</f>
        <v>OK</v>
      </c>
    </row>
    <row r="973" customFormat="false" ht="15" hidden="false" customHeight="false" outlineLevel="0" collapsed="false">
      <c r="A973" s="2" t="s">
        <v>52</v>
      </c>
      <c r="B973" s="2" t="n">
        <v>2000</v>
      </c>
      <c r="C973" s="2" t="s">
        <v>91</v>
      </c>
      <c r="D973" s="3" t="n">
        <v>30897</v>
      </c>
      <c r="E973" s="3" t="n">
        <v>302799</v>
      </c>
      <c r="F973" s="2" t="s">
        <v>14</v>
      </c>
      <c r="G973" s="3" t="n">
        <v>9800</v>
      </c>
      <c r="H973" s="2" t="s">
        <v>15</v>
      </c>
      <c r="I973" s="2" t="n">
        <v>1000</v>
      </c>
      <c r="J973" s="4" t="n">
        <f aca="false">IFERROR(E973*I973/D973,"")</f>
        <v>9800.27187105544</v>
      </c>
      <c r="K973" s="5" t="n">
        <f aca="false">IFERROR((J973-G973)/G973,"")</f>
        <v>2.77419444328374E-005</v>
      </c>
      <c r="L973" s="2" t="str">
        <f aca="false">IF(K973="","",IF(ABS(K973)&gt;0.05,"CHECK","OK"))</f>
        <v>OK</v>
      </c>
    </row>
    <row r="974" customFormat="false" ht="15" hidden="false" customHeight="false" outlineLevel="0" collapsed="false">
      <c r="A974" s="2" t="s">
        <v>53</v>
      </c>
      <c r="B974" s="2" t="n">
        <v>2001</v>
      </c>
      <c r="C974" s="2" t="s">
        <v>90</v>
      </c>
      <c r="D974" s="3" t="n">
        <v>5561</v>
      </c>
      <c r="E974" s="3" t="n">
        <v>100688</v>
      </c>
      <c r="F974" s="2" t="s">
        <v>14</v>
      </c>
      <c r="G974" s="3" t="n">
        <v>18106</v>
      </c>
      <c r="H974" s="2" t="s">
        <v>15</v>
      </c>
      <c r="I974" s="2" t="n">
        <v>1000</v>
      </c>
      <c r="J974" s="4" t="n">
        <f aca="false">IFERROR(E974*I974/D974,"")</f>
        <v>18106.0960258946</v>
      </c>
      <c r="K974" s="5" t="n">
        <f aca="false">IFERROR((J974-G974)/G974,"")</f>
        <v>5.30353996584346E-006</v>
      </c>
      <c r="L974" s="2" t="str">
        <f aca="false">IF(K974="","",IF(ABS(K974)&gt;0.05,"CHECK","OK"))</f>
        <v>OK</v>
      </c>
    </row>
    <row r="975" customFormat="false" ht="15" hidden="false" customHeight="false" outlineLevel="0" collapsed="false">
      <c r="A975" s="2" t="s">
        <v>53</v>
      </c>
      <c r="B975" s="2" t="n">
        <v>2001</v>
      </c>
      <c r="C975" s="2" t="s">
        <v>91</v>
      </c>
      <c r="D975" s="3" t="n">
        <v>28644</v>
      </c>
      <c r="E975" s="3" t="n">
        <v>279295</v>
      </c>
      <c r="F975" s="2" t="s">
        <v>14</v>
      </c>
      <c r="G975" s="3" t="n">
        <v>9751</v>
      </c>
      <c r="H975" s="2" t="s">
        <v>15</v>
      </c>
      <c r="I975" s="2" t="n">
        <v>1000</v>
      </c>
      <c r="J975" s="4" t="n">
        <f aca="false">IFERROR(E975*I975/D975,"")</f>
        <v>9750.55858120374</v>
      </c>
      <c r="K975" s="5" t="n">
        <f aca="false">IFERROR((J975-G975)/G975,"")</f>
        <v>-4.52690797105419E-005</v>
      </c>
      <c r="L975" s="2" t="str">
        <f aca="false">IF(K975="","",IF(ABS(K975)&gt;0.05,"CHECK","OK"))</f>
        <v>OK</v>
      </c>
    </row>
    <row r="976" customFormat="false" ht="15" hidden="false" customHeight="false" outlineLevel="0" collapsed="false">
      <c r="A976" s="2" t="s">
        <v>54</v>
      </c>
      <c r="B976" s="2" t="n">
        <v>2002</v>
      </c>
      <c r="C976" s="2" t="s">
        <v>90</v>
      </c>
      <c r="D976" s="3" t="n">
        <v>4537</v>
      </c>
      <c r="E976" s="3" t="n">
        <v>73362</v>
      </c>
      <c r="F976" s="2" t="s">
        <v>14</v>
      </c>
      <c r="G976" s="3" t="n">
        <v>16170</v>
      </c>
      <c r="H976" s="2" t="s">
        <v>15</v>
      </c>
      <c r="I976" s="2" t="n">
        <v>1000</v>
      </c>
      <c r="J976" s="4" t="n">
        <f aca="false">IFERROR(E976*I976/D976,"")</f>
        <v>16169.7156711483</v>
      </c>
      <c r="K976" s="5" t="n">
        <f aca="false">IFERROR((J976-G976)/G976,"")</f>
        <v>-1.75837261387325E-005</v>
      </c>
      <c r="L976" s="2" t="str">
        <f aca="false">IF(K976="","",IF(ABS(K976)&gt;0.05,"CHECK","OK"))</f>
        <v>OK</v>
      </c>
    </row>
    <row r="977" customFormat="false" ht="15" hidden="false" customHeight="false" outlineLevel="0" collapsed="false">
      <c r="A977" s="2" t="s">
        <v>54</v>
      </c>
      <c r="B977" s="2" t="n">
        <v>2002</v>
      </c>
      <c r="C977" s="2" t="s">
        <v>91</v>
      </c>
      <c r="D977" s="3" t="n">
        <v>23492</v>
      </c>
      <c r="E977" s="3" t="n">
        <v>198715</v>
      </c>
      <c r="F977" s="2" t="s">
        <v>14</v>
      </c>
      <c r="G977" s="3" t="n">
        <v>8459</v>
      </c>
      <c r="H977" s="2" t="s">
        <v>15</v>
      </c>
      <c r="I977" s="2" t="n">
        <v>1000</v>
      </c>
      <c r="J977" s="4" t="n">
        <f aca="false">IFERROR(E977*I977/D977,"")</f>
        <v>8458.83705091095</v>
      </c>
      <c r="K977" s="5" t="n">
        <f aca="false">IFERROR((J977-G977)/G977,"")</f>
        <v>-1.92633986348074E-005</v>
      </c>
      <c r="L977" s="2" t="str">
        <f aca="false">IF(K977="","",IF(ABS(K977)&gt;0.05,"CHECK","OK"))</f>
        <v>OK</v>
      </c>
    </row>
    <row r="978" customFormat="false" ht="15" hidden="false" customHeight="false" outlineLevel="0" collapsed="false">
      <c r="A978" s="2" t="s">
        <v>55</v>
      </c>
      <c r="B978" s="2" t="n">
        <v>2003</v>
      </c>
      <c r="C978" s="2" t="s">
        <v>90</v>
      </c>
      <c r="D978" s="3" t="n">
        <v>4341</v>
      </c>
      <c r="E978" s="3" t="n">
        <v>70103</v>
      </c>
      <c r="F978" s="2" t="s">
        <v>14</v>
      </c>
      <c r="G978" s="3" t="n">
        <v>16149</v>
      </c>
      <c r="H978" s="2" t="s">
        <v>15</v>
      </c>
      <c r="I978" s="2" t="n">
        <v>1000</v>
      </c>
      <c r="J978" s="4" t="n">
        <f aca="false">IFERROR(E978*I978/D978,"")</f>
        <v>16149.0439990786</v>
      </c>
      <c r="K978" s="5" t="n">
        <f aca="false">IFERROR((J978-G978)/G978,"")</f>
        <v>2.7245698527827E-006</v>
      </c>
      <c r="L978" s="2" t="str">
        <f aca="false">IF(K978="","",IF(ABS(K978)&gt;0.05,"CHECK","OK"))</f>
        <v>OK</v>
      </c>
    </row>
    <row r="979" customFormat="false" ht="15" hidden="false" customHeight="false" outlineLevel="0" collapsed="false">
      <c r="A979" s="2" t="s">
        <v>55</v>
      </c>
      <c r="B979" s="2" t="n">
        <v>2003</v>
      </c>
      <c r="C979" s="2" t="s">
        <v>91</v>
      </c>
      <c r="D979" s="3" t="n">
        <v>23452</v>
      </c>
      <c r="E979" s="3" t="n">
        <v>211173</v>
      </c>
      <c r="F979" s="2" t="s">
        <v>14</v>
      </c>
      <c r="G979" s="3" t="n">
        <v>9004</v>
      </c>
      <c r="H979" s="2" t="s">
        <v>15</v>
      </c>
      <c r="I979" s="2" t="n">
        <v>1000</v>
      </c>
      <c r="J979" s="4" t="n">
        <f aca="false">IFERROR(E979*I979/D979,"")</f>
        <v>9004.47723008699</v>
      </c>
      <c r="K979" s="5" t="n">
        <f aca="false">IFERROR((J979-G979)/G979,"")</f>
        <v>5.30020087723579E-005</v>
      </c>
      <c r="L979" s="2" t="str">
        <f aca="false">IF(K979="","",IF(ABS(K979)&gt;0.05,"CHECK","OK"))</f>
        <v>OK</v>
      </c>
    </row>
    <row r="980" customFormat="false" ht="15" hidden="false" customHeight="false" outlineLevel="0" collapsed="false">
      <c r="A980" s="2" t="s">
        <v>56</v>
      </c>
      <c r="B980" s="2" t="n">
        <v>2004</v>
      </c>
      <c r="C980" s="2" t="s">
        <v>90</v>
      </c>
      <c r="D980" s="3" t="n">
        <v>5034</v>
      </c>
      <c r="E980" s="3" t="n">
        <v>79060</v>
      </c>
      <c r="F980" s="2" t="s">
        <v>14</v>
      </c>
      <c r="G980" s="3" t="n">
        <v>15705</v>
      </c>
      <c r="H980" s="2" t="s">
        <v>15</v>
      </c>
      <c r="I980" s="2" t="n">
        <v>1000</v>
      </c>
      <c r="J980" s="4" t="n">
        <f aca="false">IFERROR(E980*I980/D980,"")</f>
        <v>15705.2046086611</v>
      </c>
      <c r="K980" s="5" t="n">
        <f aca="false">IFERROR((J980-G980)/G980,"")</f>
        <v>1.3028249672361E-005</v>
      </c>
      <c r="L980" s="2" t="str">
        <f aca="false">IF(K980="","",IF(ABS(K980)&gt;0.05,"CHECK","OK"))</f>
        <v>OK</v>
      </c>
    </row>
    <row r="981" customFormat="false" ht="15" hidden="false" customHeight="false" outlineLevel="0" collapsed="false">
      <c r="A981" s="2" t="s">
        <v>56</v>
      </c>
      <c r="B981" s="2" t="n">
        <v>2004</v>
      </c>
      <c r="C981" s="2" t="s">
        <v>91</v>
      </c>
      <c r="D981" s="3" t="n">
        <v>26491</v>
      </c>
      <c r="E981" s="3" t="n">
        <v>256359</v>
      </c>
      <c r="F981" s="2" t="s">
        <v>14</v>
      </c>
      <c r="G981" s="3" t="n">
        <v>9677</v>
      </c>
      <c r="H981" s="2" t="s">
        <v>15</v>
      </c>
      <c r="I981" s="2" t="n">
        <v>1000</v>
      </c>
      <c r="J981" s="4" t="n">
        <f aca="false">IFERROR(E981*I981/D981,"")</f>
        <v>9677.21112830773</v>
      </c>
      <c r="K981" s="5" t="n">
        <f aca="false">IFERROR((J981-G981)/G981,"")</f>
        <v>2.18175372250222E-005</v>
      </c>
      <c r="L981" s="2" t="str">
        <f aca="false">IF(K981="","",IF(ABS(K981)&gt;0.05,"CHECK","OK"))</f>
        <v>OK</v>
      </c>
    </row>
    <row r="982" customFormat="false" ht="15" hidden="false" customHeight="false" outlineLevel="0" collapsed="false">
      <c r="A982" s="2" t="s">
        <v>57</v>
      </c>
      <c r="B982" s="2" t="n">
        <v>2005</v>
      </c>
      <c r="C982" s="2" t="s">
        <v>90</v>
      </c>
      <c r="D982" s="3" t="n">
        <v>5005</v>
      </c>
      <c r="E982" s="3" t="n">
        <v>74593</v>
      </c>
      <c r="F982" s="2" t="s">
        <v>14</v>
      </c>
      <c r="G982" s="3" t="n">
        <v>14904</v>
      </c>
      <c r="H982" s="2" t="s">
        <v>15</v>
      </c>
      <c r="I982" s="2" t="n">
        <v>1000</v>
      </c>
      <c r="J982" s="4" t="n">
        <f aca="false">IFERROR(E982*I982/D982,"")</f>
        <v>14903.6963036963</v>
      </c>
      <c r="K982" s="5" t="n">
        <f aca="false">IFERROR((J982-G982)/G982,"")</f>
        <v>-2.03768319709935E-005</v>
      </c>
      <c r="L982" s="2" t="str">
        <f aca="false">IF(K982="","",IF(ABS(K982)&gt;0.05,"CHECK","OK"))</f>
        <v>OK</v>
      </c>
    </row>
    <row r="983" customFormat="false" ht="15" hidden="false" customHeight="false" outlineLevel="0" collapsed="false">
      <c r="A983" s="2" t="s">
        <v>57</v>
      </c>
      <c r="B983" s="2" t="n">
        <v>2005</v>
      </c>
      <c r="C983" s="2" t="s">
        <v>91</v>
      </c>
      <c r="D983" s="3" t="n">
        <v>29169</v>
      </c>
      <c r="E983" s="3" t="n">
        <v>233795</v>
      </c>
      <c r="F983" s="2" t="s">
        <v>14</v>
      </c>
      <c r="G983" s="3" t="n">
        <v>8015</v>
      </c>
      <c r="H983" s="2" t="s">
        <v>15</v>
      </c>
      <c r="I983" s="2" t="n">
        <v>1000</v>
      </c>
      <c r="J983" s="4" t="n">
        <f aca="false">IFERROR(E983*I983/D983,"")</f>
        <v>8015.18735644006</v>
      </c>
      <c r="K983" s="5" t="n">
        <f aca="false">IFERROR((J983-G983)/G983,"")</f>
        <v>2.33757255217276E-005</v>
      </c>
      <c r="L983" s="2" t="str">
        <f aca="false">IF(K983="","",IF(ABS(K983)&gt;0.05,"CHECK","OK"))</f>
        <v>OK</v>
      </c>
    </row>
    <row r="984" customFormat="false" ht="15" hidden="false" customHeight="false" outlineLevel="0" collapsed="false">
      <c r="A984" s="2" t="s">
        <v>58</v>
      </c>
      <c r="B984" s="2" t="n">
        <v>2006</v>
      </c>
      <c r="C984" s="2" t="s">
        <v>90</v>
      </c>
      <c r="D984" s="3" t="n">
        <v>5190</v>
      </c>
      <c r="E984" s="3" t="n">
        <v>77443</v>
      </c>
      <c r="F984" s="2" t="s">
        <v>14</v>
      </c>
      <c r="G984" s="3" t="n">
        <v>14922</v>
      </c>
      <c r="H984" s="2" t="s">
        <v>15</v>
      </c>
      <c r="I984" s="2" t="n">
        <v>1000</v>
      </c>
      <c r="J984" s="4" t="n">
        <f aca="false">IFERROR(E984*I984/D984,"")</f>
        <v>14921.5799614644</v>
      </c>
      <c r="K984" s="5" t="n">
        <f aca="false">IFERROR((J984-G984)/G984,"")</f>
        <v>-2.81489435494766E-005</v>
      </c>
      <c r="L984" s="2" t="str">
        <f aca="false">IF(K984="","",IF(ABS(K984)&gt;0.05,"CHECK","OK"))</f>
        <v>OK</v>
      </c>
    </row>
    <row r="985" customFormat="false" ht="15" hidden="false" customHeight="false" outlineLevel="0" collapsed="false">
      <c r="A985" s="2" t="s">
        <v>58</v>
      </c>
      <c r="B985" s="2" t="n">
        <v>2006</v>
      </c>
      <c r="C985" s="2" t="s">
        <v>91</v>
      </c>
      <c r="D985" s="3" t="n">
        <v>29587</v>
      </c>
      <c r="E985" s="3" t="n">
        <v>258333</v>
      </c>
      <c r="F985" s="2" t="s">
        <v>14</v>
      </c>
      <c r="G985" s="3" t="n">
        <v>8731</v>
      </c>
      <c r="H985" s="2" t="s">
        <v>15</v>
      </c>
      <c r="I985" s="2" t="n">
        <v>1000</v>
      </c>
      <c r="J985" s="4" t="n">
        <f aca="false">IFERROR(E985*I985/D985,"")</f>
        <v>8731.30090918309</v>
      </c>
      <c r="K985" s="5" t="n">
        <f aca="false">IFERROR((J985-G985)/G985,"")</f>
        <v>3.4464458033024E-005</v>
      </c>
      <c r="L985" s="2" t="str">
        <f aca="false">IF(K985="","",IF(ABS(K985)&gt;0.05,"CHECK","OK"))</f>
        <v>OK</v>
      </c>
    </row>
    <row r="986" customFormat="false" ht="15" hidden="false" customHeight="false" outlineLevel="0" collapsed="false">
      <c r="A986" s="2" t="s">
        <v>59</v>
      </c>
      <c r="B986" s="2" t="n">
        <v>2007</v>
      </c>
      <c r="C986" s="2" t="s">
        <v>90</v>
      </c>
      <c r="D986" s="3" t="n">
        <v>4066</v>
      </c>
      <c r="E986" s="3" t="n">
        <v>68169</v>
      </c>
      <c r="F986" s="2" t="s">
        <v>14</v>
      </c>
      <c r="G986" s="3" t="n">
        <v>16766</v>
      </c>
      <c r="H986" s="2" t="s">
        <v>15</v>
      </c>
      <c r="I986" s="2" t="n">
        <v>1000</v>
      </c>
      <c r="J986" s="4" t="n">
        <f aca="false">IFERROR(E986*I986/D986,"")</f>
        <v>16765.6173143138</v>
      </c>
      <c r="K986" s="5" t="n">
        <f aca="false">IFERROR((J986-G986)/G986,"")</f>
        <v>-2.28251035534931E-005</v>
      </c>
      <c r="L986" s="2" t="str">
        <f aca="false">IF(K986="","",IF(ABS(K986)&gt;0.05,"CHECK","OK"))</f>
        <v>OK</v>
      </c>
    </row>
    <row r="987" customFormat="false" ht="15" hidden="false" customHeight="false" outlineLevel="0" collapsed="false">
      <c r="A987" s="2" t="s">
        <v>59</v>
      </c>
      <c r="B987" s="2" t="n">
        <v>2007</v>
      </c>
      <c r="C987" s="2" t="s">
        <v>91</v>
      </c>
      <c r="D987" s="3" t="n">
        <v>29809</v>
      </c>
      <c r="E987" s="3" t="n">
        <v>287208</v>
      </c>
      <c r="F987" s="2" t="s">
        <v>14</v>
      </c>
      <c r="G987" s="3" t="n">
        <v>9635</v>
      </c>
      <c r="H987" s="2" t="s">
        <v>15</v>
      </c>
      <c r="I987" s="2" t="n">
        <v>1000</v>
      </c>
      <c r="J987" s="4" t="n">
        <f aca="false">IFERROR(E987*I987/D987,"")</f>
        <v>9634.94246704016</v>
      </c>
      <c r="K987" s="5" t="n">
        <f aca="false">IFERROR((J987-G987)/G987,"")</f>
        <v>-5.97124648106363E-006</v>
      </c>
      <c r="L987" s="2" t="str">
        <f aca="false">IF(K987="","",IF(ABS(K987)&gt;0.05,"CHECK","OK"))</f>
        <v>OK</v>
      </c>
    </row>
    <row r="988" customFormat="false" ht="15" hidden="false" customHeight="false" outlineLevel="0" collapsed="false">
      <c r="A988" s="2" t="s">
        <v>60</v>
      </c>
      <c r="B988" s="2" t="n">
        <v>2008</v>
      </c>
      <c r="C988" s="2" t="s">
        <v>90</v>
      </c>
      <c r="D988" s="3" t="n">
        <v>4367</v>
      </c>
      <c r="E988" s="3" t="n">
        <v>80539</v>
      </c>
      <c r="F988" s="2" t="s">
        <v>14</v>
      </c>
      <c r="G988" s="3" t="n">
        <v>18438</v>
      </c>
      <c r="H988" s="2" t="s">
        <v>15</v>
      </c>
      <c r="I988" s="2" t="n">
        <v>1000</v>
      </c>
      <c r="J988" s="4" t="n">
        <f aca="false">IFERROR(E988*I988/D988,"")</f>
        <v>18442.6379665674</v>
      </c>
      <c r="K988" s="5" t="n">
        <f aca="false">IFERROR((J988-G988)/G988,"")</f>
        <v>0.000251543907551567</v>
      </c>
      <c r="L988" s="2" t="str">
        <f aca="false">IF(K988="","",IF(ABS(K988)&gt;0.05,"CHECK","OK"))</f>
        <v>OK</v>
      </c>
    </row>
    <row r="989" customFormat="false" ht="15" hidden="false" customHeight="false" outlineLevel="0" collapsed="false">
      <c r="A989" s="2" t="s">
        <v>60</v>
      </c>
      <c r="B989" s="2" t="n">
        <v>2008</v>
      </c>
      <c r="C989" s="2" t="s">
        <v>91</v>
      </c>
      <c r="D989" s="3" t="n">
        <v>30255</v>
      </c>
      <c r="E989" s="3" t="n">
        <v>286040</v>
      </c>
      <c r="F989" s="2" t="s">
        <v>14</v>
      </c>
      <c r="G989" s="3" t="n">
        <v>9453</v>
      </c>
      <c r="H989" s="2" t="s">
        <v>15</v>
      </c>
      <c r="I989" s="2" t="n">
        <v>1000</v>
      </c>
      <c r="J989" s="4" t="n">
        <f aca="false">IFERROR(E989*I989/D989,"")</f>
        <v>9454.30507354156</v>
      </c>
      <c r="K989" s="5" t="n">
        <f aca="false">IFERROR((J989-G989)/G989,"")</f>
        <v>0.000138059191956375</v>
      </c>
      <c r="L989" s="2" t="str">
        <f aca="false">IF(K989="","",IF(ABS(K989)&gt;0.05,"CHECK","OK"))</f>
        <v>OK</v>
      </c>
    </row>
    <row r="990" customFormat="false" ht="15" hidden="false" customHeight="false" outlineLevel="0" collapsed="false">
      <c r="A990" s="2" t="s">
        <v>61</v>
      </c>
      <c r="B990" s="2" t="n">
        <v>2009</v>
      </c>
      <c r="C990" s="2" t="s">
        <v>90</v>
      </c>
      <c r="D990" s="3" t="n">
        <v>4611</v>
      </c>
      <c r="E990" s="3" t="n">
        <v>84683</v>
      </c>
      <c r="F990" s="2" t="s">
        <v>14</v>
      </c>
      <c r="G990" s="3" t="n">
        <v>18365</v>
      </c>
      <c r="H990" s="2" t="s">
        <v>15</v>
      </c>
      <c r="I990" s="2" t="n">
        <v>1000</v>
      </c>
      <c r="J990" s="4" t="n">
        <f aca="false">IFERROR(E990*I990/D990,"")</f>
        <v>18365.430492301</v>
      </c>
      <c r="K990" s="5" t="n">
        <f aca="false">IFERROR((J990-G990)/G990,"")</f>
        <v>2.34409093939789E-005</v>
      </c>
      <c r="L990" s="2" t="str">
        <f aca="false">IF(K990="","",IF(ABS(K990)&gt;0.05,"CHECK","OK"))</f>
        <v>OK</v>
      </c>
    </row>
    <row r="991" customFormat="false" ht="15" hidden="false" customHeight="false" outlineLevel="0" collapsed="false">
      <c r="A991" s="2" t="s">
        <v>61</v>
      </c>
      <c r="B991" s="2" t="n">
        <v>2009</v>
      </c>
      <c r="C991" s="2" t="s">
        <v>91</v>
      </c>
      <c r="D991" s="3" t="n">
        <v>31024</v>
      </c>
      <c r="E991" s="3" t="n">
        <v>302563</v>
      </c>
      <c r="F991" s="2" t="s">
        <v>14</v>
      </c>
      <c r="G991" s="3" t="n">
        <v>9753</v>
      </c>
      <c r="H991" s="2" t="s">
        <v>15</v>
      </c>
      <c r="I991" s="2" t="n">
        <v>1000</v>
      </c>
      <c r="J991" s="4" t="n">
        <f aca="false">IFERROR(E991*I991/D991,"")</f>
        <v>9752.54641567819</v>
      </c>
      <c r="K991" s="5" t="n">
        <f aca="false">IFERROR((J991-G991)/G991,"")</f>
        <v>-4.65071590089778E-005</v>
      </c>
      <c r="L991" s="2" t="str">
        <f aca="false">IF(K991="","",IF(ABS(K991)&gt;0.05,"CHECK","OK"))</f>
        <v>OK</v>
      </c>
    </row>
    <row r="992" customFormat="false" ht="15" hidden="false" customHeight="false" outlineLevel="0" collapsed="false">
      <c r="A992" s="2" t="s">
        <v>62</v>
      </c>
      <c r="B992" s="2" t="n">
        <v>2010</v>
      </c>
      <c r="C992" s="2" t="s">
        <v>90</v>
      </c>
      <c r="D992" s="3" t="n">
        <v>4624</v>
      </c>
      <c r="E992" s="3" t="n">
        <v>88932</v>
      </c>
      <c r="F992" s="2" t="s">
        <v>14</v>
      </c>
      <c r="G992" s="3" t="n">
        <v>19233</v>
      </c>
      <c r="H992" s="2" t="s">
        <v>15</v>
      </c>
      <c r="I992" s="2" t="n">
        <v>1000</v>
      </c>
      <c r="J992" s="4" t="n">
        <f aca="false">IFERROR(E992*I992/D992,"")</f>
        <v>19232.6989619377</v>
      </c>
      <c r="K992" s="5" t="n">
        <f aca="false">IFERROR((J992-G992)/G992,"")</f>
        <v>-1.56521635877723E-005</v>
      </c>
      <c r="L992" s="2" t="str">
        <f aca="false">IF(K992="","",IF(ABS(K992)&gt;0.05,"CHECK","OK"))</f>
        <v>OK</v>
      </c>
    </row>
    <row r="993" customFormat="false" ht="15" hidden="false" customHeight="false" outlineLevel="0" collapsed="false">
      <c r="A993" s="2" t="s">
        <v>62</v>
      </c>
      <c r="B993" s="2" t="n">
        <v>2010</v>
      </c>
      <c r="C993" s="2" t="s">
        <v>91</v>
      </c>
      <c r="D993" s="3" t="n">
        <v>31959</v>
      </c>
      <c r="E993" s="3" t="n">
        <v>299305</v>
      </c>
      <c r="F993" s="2" t="s">
        <v>14</v>
      </c>
      <c r="G993" s="3" t="n">
        <v>9365</v>
      </c>
      <c r="H993" s="2" t="s">
        <v>15</v>
      </c>
      <c r="I993" s="2" t="n">
        <v>1000</v>
      </c>
      <c r="J993" s="4" t="n">
        <f aca="false">IFERROR(E993*I993/D993,"")</f>
        <v>9365.28051566069</v>
      </c>
      <c r="K993" s="5" t="n">
        <f aca="false">IFERROR((J993-G993)/G993,"")</f>
        <v>2.99536210026771E-005</v>
      </c>
      <c r="L993" s="2" t="str">
        <f aca="false">IF(K993="","",IF(ABS(K993)&gt;0.05,"CHECK","OK"))</f>
        <v>OK</v>
      </c>
    </row>
    <row r="994" customFormat="false" ht="15" hidden="false" customHeight="false" outlineLevel="0" collapsed="false">
      <c r="A994" s="2" t="s">
        <v>63</v>
      </c>
      <c r="B994" s="2" t="n">
        <v>2011</v>
      </c>
      <c r="C994" s="2" t="s">
        <v>90</v>
      </c>
      <c r="D994" s="3" t="n">
        <v>4673</v>
      </c>
      <c r="E994" s="3" t="n">
        <v>92204</v>
      </c>
      <c r="F994" s="2" t="s">
        <v>14</v>
      </c>
      <c r="G994" s="3" t="n">
        <v>20497</v>
      </c>
      <c r="H994" s="2" t="s">
        <v>15</v>
      </c>
      <c r="I994" s="2" t="n">
        <v>1000</v>
      </c>
      <c r="J994" s="4" t="n">
        <f aca="false">IFERROR(E994*I994/D994,"")</f>
        <v>19731.2219131179</v>
      </c>
      <c r="K994" s="5" t="n">
        <f aca="false">IFERROR((J994-G994)/G994,"")</f>
        <v>-0.0373604960180557</v>
      </c>
      <c r="L994" s="2" t="str">
        <f aca="false">IF(K994="","",IF(ABS(K994)&gt;0.05,"CHECK","OK"))</f>
        <v>OK</v>
      </c>
    </row>
    <row r="995" customFormat="false" ht="15" hidden="false" customHeight="false" outlineLevel="0" collapsed="false">
      <c r="A995" s="2" t="s">
        <v>63</v>
      </c>
      <c r="B995" s="2" t="n">
        <v>2011</v>
      </c>
      <c r="C995" s="2" t="s">
        <v>91</v>
      </c>
      <c r="D995" s="3" t="n">
        <v>34912</v>
      </c>
      <c r="E995" s="3" t="n">
        <v>336944</v>
      </c>
      <c r="F995" s="2" t="s">
        <v>14</v>
      </c>
      <c r="G995" s="3" t="n">
        <v>10962</v>
      </c>
      <c r="H995" s="2" t="s">
        <v>15</v>
      </c>
      <c r="I995" s="2" t="n">
        <v>1000</v>
      </c>
      <c r="J995" s="4" t="n">
        <f aca="false">IFERROR(E995*I995/D995,"")</f>
        <v>9651.23739688359</v>
      </c>
      <c r="K995" s="5" t="n">
        <f aca="false">IFERROR((J995-G995)/G995,"")</f>
        <v>-0.119573308074841</v>
      </c>
      <c r="L995" s="2" t="str">
        <f aca="false">IF(K995="","",IF(ABS(K995)&gt;0.05,"CHECK","OK"))</f>
        <v>CHECK</v>
      </c>
    </row>
    <row r="996" customFormat="false" ht="15" hidden="false" customHeight="false" outlineLevel="0" collapsed="false">
      <c r="A996" s="2" t="s">
        <v>64</v>
      </c>
      <c r="B996" s="2" t="n">
        <v>2012</v>
      </c>
      <c r="C996" s="2" t="s">
        <v>90</v>
      </c>
      <c r="D996" s="3" t="n">
        <v>4268</v>
      </c>
      <c r="E996" s="3" t="n">
        <v>76176</v>
      </c>
      <c r="F996" s="2" t="s">
        <v>14</v>
      </c>
      <c r="G996" s="3" t="n">
        <v>17848</v>
      </c>
      <c r="H996" s="2" t="s">
        <v>15</v>
      </c>
      <c r="I996" s="2" t="n">
        <v>1000</v>
      </c>
      <c r="J996" s="4" t="n">
        <f aca="false">IFERROR(E996*I996/D996,"")</f>
        <v>17848.1724461106</v>
      </c>
      <c r="K996" s="5" t="n">
        <f aca="false">IFERROR((J996-G996)/G996,"")</f>
        <v>9.66192910081851E-006</v>
      </c>
      <c r="L996" s="2" t="str">
        <f aca="false">IF(K996="","",IF(ABS(K996)&gt;0.05,"CHECK","OK"))</f>
        <v>OK</v>
      </c>
    </row>
    <row r="997" customFormat="false" ht="15" hidden="false" customHeight="false" outlineLevel="0" collapsed="false">
      <c r="A997" s="2" t="s">
        <v>64</v>
      </c>
      <c r="B997" s="2" t="n">
        <v>2012</v>
      </c>
      <c r="C997" s="2" t="s">
        <v>91</v>
      </c>
      <c r="D997" s="3" t="n">
        <v>24031</v>
      </c>
      <c r="E997" s="3" t="n">
        <v>199234</v>
      </c>
      <c r="F997" s="2" t="s">
        <v>14</v>
      </c>
      <c r="G997" s="3" t="n">
        <v>8291</v>
      </c>
      <c r="H997" s="2" t="s">
        <v>15</v>
      </c>
      <c r="I997" s="2" t="n">
        <v>1000</v>
      </c>
      <c r="J997" s="4" t="n">
        <f aca="false">IFERROR(E997*I997/D997,"")</f>
        <v>8290.70783571221</v>
      </c>
      <c r="K997" s="5" t="n">
        <f aca="false">IFERROR((J997-G997)/G997,"")</f>
        <v>-3.52387272699865E-005</v>
      </c>
      <c r="L997" s="2" t="str">
        <f aca="false">IF(K997="","",IF(ABS(K997)&gt;0.05,"CHECK","OK"))</f>
        <v>OK</v>
      </c>
    </row>
    <row r="998" customFormat="false" ht="15" hidden="false" customHeight="false" outlineLevel="0" collapsed="false">
      <c r="A998" s="2" t="s">
        <v>65</v>
      </c>
      <c r="B998" s="2" t="n">
        <v>2013</v>
      </c>
      <c r="C998" s="2" t="s">
        <v>90</v>
      </c>
      <c r="D998" s="3" t="n">
        <v>5919</v>
      </c>
      <c r="E998" s="3" t="n">
        <v>122737</v>
      </c>
      <c r="F998" s="2" t="s">
        <v>14</v>
      </c>
      <c r="G998" s="3" t="n">
        <v>20736</v>
      </c>
      <c r="H998" s="2" t="s">
        <v>15</v>
      </c>
      <c r="I998" s="2" t="n">
        <v>1000</v>
      </c>
      <c r="J998" s="4" t="n">
        <f aca="false">IFERROR(E998*I998/D998,"")</f>
        <v>20736.1040716337</v>
      </c>
      <c r="K998" s="5" t="n">
        <f aca="false">IFERROR((J998-G998)/G998,"")</f>
        <v>5.01888665716262E-006</v>
      </c>
      <c r="L998" s="2" t="str">
        <f aca="false">IF(K998="","",IF(ABS(K998)&gt;0.05,"CHECK","OK"))</f>
        <v>OK</v>
      </c>
    </row>
    <row r="999" customFormat="false" ht="15" hidden="false" customHeight="false" outlineLevel="0" collapsed="false">
      <c r="A999" s="2" t="s">
        <v>65</v>
      </c>
      <c r="B999" s="2" t="n">
        <v>2013</v>
      </c>
      <c r="C999" s="2" t="s">
        <v>91</v>
      </c>
      <c r="D999" s="3" t="n">
        <v>24987</v>
      </c>
      <c r="E999" s="3" t="n">
        <v>240371</v>
      </c>
      <c r="F999" s="2" t="s">
        <v>14</v>
      </c>
      <c r="G999" s="3" t="n">
        <v>9620</v>
      </c>
      <c r="H999" s="2" t="s">
        <v>15</v>
      </c>
      <c r="I999" s="2" t="n">
        <v>1000</v>
      </c>
      <c r="J999" s="4" t="n">
        <f aca="false">IFERROR(E999*I999/D999,"")</f>
        <v>9619.84231800536</v>
      </c>
      <c r="K999" s="5" t="n">
        <f aca="false">IFERROR((J999-G999)/G999,"")</f>
        <v>-1.63910597335481E-005</v>
      </c>
      <c r="L999" s="2" t="str">
        <f aca="false">IF(K999="","",IF(ABS(K999)&gt;0.05,"CHECK","OK"))</f>
        <v>OK</v>
      </c>
    </row>
    <row r="1000" customFormat="false" ht="15" hidden="false" customHeight="false" outlineLevel="0" collapsed="false">
      <c r="A1000" s="2" t="s">
        <v>66</v>
      </c>
      <c r="B1000" s="2" t="n">
        <v>2014</v>
      </c>
      <c r="C1000" s="2" t="s">
        <v>90</v>
      </c>
      <c r="D1000" s="3" t="n">
        <v>4737</v>
      </c>
      <c r="E1000" s="3" t="n">
        <v>111931</v>
      </c>
      <c r="F1000" s="2" t="s">
        <v>14</v>
      </c>
      <c r="G1000" s="3" t="n">
        <v>23634</v>
      </c>
      <c r="H1000" s="2" t="s">
        <v>15</v>
      </c>
      <c r="I1000" s="2" t="n">
        <v>1000</v>
      </c>
      <c r="J1000" s="4" t="n">
        <f aca="false">IFERROR(E1000*I1000/D1000,"")</f>
        <v>23629.0901414397</v>
      </c>
      <c r="K1000" s="5" t="n">
        <f aca="false">IFERROR((J1000-G1000)/G1000,"")</f>
        <v>-0.000207745559798157</v>
      </c>
      <c r="L1000" s="2" t="str">
        <f aca="false">IF(K1000="","",IF(ABS(K1000)&gt;0.05,"CHECK","OK"))</f>
        <v>OK</v>
      </c>
    </row>
    <row r="1001" customFormat="false" ht="15" hidden="false" customHeight="false" outlineLevel="0" collapsed="false">
      <c r="A1001" s="2" t="s">
        <v>66</v>
      </c>
      <c r="B1001" s="2" t="n">
        <v>2014</v>
      </c>
      <c r="C1001" s="2" t="s">
        <v>91</v>
      </c>
      <c r="D1001" s="3" t="n">
        <v>28105</v>
      </c>
      <c r="E1001" s="3" t="n">
        <v>240331</v>
      </c>
      <c r="F1001" s="2" t="s">
        <v>14</v>
      </c>
      <c r="G1001" s="3" t="n">
        <v>8562</v>
      </c>
      <c r="H1001" s="2" t="s">
        <v>15</v>
      </c>
      <c r="I1001" s="2" t="n">
        <v>1000</v>
      </c>
      <c r="J1001" s="4" t="n">
        <f aca="false">IFERROR(E1001*I1001/D1001,"")</f>
        <v>8551.18306351183</v>
      </c>
      <c r="K1001" s="5" t="n">
        <f aca="false">IFERROR((J1001-G1001)/G1001,"")</f>
        <v>-0.00126336562580807</v>
      </c>
      <c r="L1001" s="2" t="str">
        <f aca="false">IF(K1001="","",IF(ABS(K1001)&gt;0.05,"CHECK","OK"))</f>
        <v>OK</v>
      </c>
    </row>
    <row r="1002" customFormat="false" ht="15" hidden="false" customHeight="false" outlineLevel="0" collapsed="false">
      <c r="A1002" s="2" t="s">
        <v>67</v>
      </c>
      <c r="B1002" s="2" t="n">
        <v>2015</v>
      </c>
      <c r="C1002" s="2" t="s">
        <v>90</v>
      </c>
      <c r="D1002" s="3" t="n">
        <v>4306</v>
      </c>
      <c r="E1002" s="3" t="n">
        <v>89963</v>
      </c>
      <c r="F1002" s="2" t="s">
        <v>14</v>
      </c>
      <c r="G1002" s="3" t="n">
        <v>20892</v>
      </c>
      <c r="H1002" s="2" t="s">
        <v>15</v>
      </c>
      <c r="I1002" s="2" t="n">
        <v>1000</v>
      </c>
      <c r="J1002" s="4" t="n">
        <f aca="false">IFERROR(E1002*I1002/D1002,"")</f>
        <v>20892.4756154203</v>
      </c>
      <c r="K1002" s="5" t="n">
        <f aca="false">IFERROR((J1002-G1002)/G1002,"")</f>
        <v>2.27654327178999E-005</v>
      </c>
      <c r="L1002" s="2" t="str">
        <f aca="false">IF(K1002="","",IF(ABS(K1002)&gt;0.05,"CHECK","OK"))</f>
        <v>OK</v>
      </c>
    </row>
    <row r="1003" customFormat="false" ht="15" hidden="false" customHeight="false" outlineLevel="0" collapsed="false">
      <c r="A1003" s="2" t="s">
        <v>67</v>
      </c>
      <c r="B1003" s="2" t="n">
        <v>2015</v>
      </c>
      <c r="C1003" s="2" t="s">
        <v>91</v>
      </c>
      <c r="D1003" s="3" t="n">
        <v>35809</v>
      </c>
      <c r="E1003" s="3" t="n">
        <v>282714</v>
      </c>
      <c r="F1003" s="2" t="s">
        <v>14</v>
      </c>
      <c r="G1003" s="3" t="n">
        <v>7895</v>
      </c>
      <c r="H1003" s="2" t="s">
        <v>15</v>
      </c>
      <c r="I1003" s="2" t="n">
        <v>1000</v>
      </c>
      <c r="J1003" s="4" t="n">
        <f aca="false">IFERROR(E1003*I1003/D1003,"")</f>
        <v>7895.05431595409</v>
      </c>
      <c r="K1003" s="5" t="n">
        <f aca="false">IFERROR((J1003-G1003)/G1003,"")</f>
        <v>6.87979152493492E-006</v>
      </c>
      <c r="L1003" s="2" t="str">
        <f aca="false">IF(K1003="","",IF(ABS(K1003)&gt;0.05,"CHECK","OK"))</f>
        <v>OK</v>
      </c>
    </row>
    <row r="1004" customFormat="false" ht="15" hidden="false" customHeight="false" outlineLevel="0" collapsed="false">
      <c r="A1004" s="2" t="s">
        <v>68</v>
      </c>
      <c r="B1004" s="2" t="n">
        <v>2016</v>
      </c>
      <c r="C1004" s="2" t="s">
        <v>90</v>
      </c>
      <c r="D1004" s="3" t="n">
        <v>4847</v>
      </c>
      <c r="E1004" s="3" t="n">
        <v>108969</v>
      </c>
      <c r="F1004" s="2" t="s">
        <v>14</v>
      </c>
      <c r="G1004" s="3" t="n">
        <v>22478</v>
      </c>
      <c r="H1004" s="2" t="s">
        <v>15</v>
      </c>
      <c r="I1004" s="2" t="n">
        <v>1000</v>
      </c>
      <c r="J1004" s="4" t="n">
        <f aca="false">IFERROR(E1004*I1004/D1004,"")</f>
        <v>22481.741283268</v>
      </c>
      <c r="K1004" s="5" t="n">
        <f aca="false">IFERROR((J1004-G1004)/G1004,"")</f>
        <v>0.000166441999644186</v>
      </c>
      <c r="L1004" s="2" t="str">
        <f aca="false">IF(K1004="","",IF(ABS(K1004)&gt;0.05,"CHECK","OK"))</f>
        <v>OK</v>
      </c>
    </row>
    <row r="1005" customFormat="false" ht="15" hidden="false" customHeight="false" outlineLevel="0" collapsed="false">
      <c r="A1005" s="2" t="s">
        <v>68</v>
      </c>
      <c r="B1005" s="2" t="n">
        <v>2016</v>
      </c>
      <c r="C1005" s="2" t="s">
        <v>91</v>
      </c>
      <c r="D1005" s="3" t="n">
        <v>31199</v>
      </c>
      <c r="E1005" s="3" t="n">
        <v>230222</v>
      </c>
      <c r="F1005" s="2" t="s">
        <v>14</v>
      </c>
      <c r="G1005" s="3" t="n">
        <v>7379</v>
      </c>
      <c r="H1005" s="2" t="s">
        <v>15</v>
      </c>
      <c r="I1005" s="2" t="n">
        <v>1000</v>
      </c>
      <c r="J1005" s="4" t="n">
        <f aca="false">IFERROR(E1005*I1005/D1005,"")</f>
        <v>7379.1467675246</v>
      </c>
      <c r="K1005" s="5" t="n">
        <f aca="false">IFERROR((J1005-G1005)/G1005,"")</f>
        <v>1.98898935628627E-005</v>
      </c>
      <c r="L1005" s="2" t="str">
        <f aca="false">IF(K1005="","",IF(ABS(K1005)&gt;0.05,"CHECK","OK"))</f>
        <v>OK</v>
      </c>
    </row>
    <row r="1006" customFormat="false" ht="15" hidden="false" customHeight="false" outlineLevel="0" collapsed="false">
      <c r="A1006" s="2" t="s">
        <v>69</v>
      </c>
      <c r="B1006" s="2" t="n">
        <v>2017</v>
      </c>
      <c r="C1006" s="2" t="s">
        <v>90</v>
      </c>
      <c r="D1006" s="3" t="n">
        <v>3582</v>
      </c>
      <c r="E1006" s="3" t="n">
        <v>68517</v>
      </c>
      <c r="F1006" s="2" t="s">
        <v>14</v>
      </c>
      <c r="G1006" s="3" t="n">
        <v>19128</v>
      </c>
      <c r="H1006" s="2" t="s">
        <v>15</v>
      </c>
      <c r="I1006" s="2" t="n">
        <v>1000</v>
      </c>
      <c r="J1006" s="4" t="n">
        <f aca="false">IFERROR(E1006*I1006/D1006,"")</f>
        <v>19128.1407035176</v>
      </c>
      <c r="K1006" s="5" t="n">
        <f aca="false">IFERROR((J1006-G1006)/G1006,"")</f>
        <v>7.3558928056827E-006</v>
      </c>
      <c r="L1006" s="2" t="str">
        <f aca="false">IF(K1006="","",IF(ABS(K1006)&gt;0.05,"CHECK","OK"))</f>
        <v>OK</v>
      </c>
    </row>
    <row r="1007" customFormat="false" ht="15" hidden="false" customHeight="false" outlineLevel="0" collapsed="false">
      <c r="A1007" s="2" t="s">
        <v>69</v>
      </c>
      <c r="B1007" s="2" t="n">
        <v>2017</v>
      </c>
      <c r="C1007" s="2" t="s">
        <v>91</v>
      </c>
      <c r="D1007" s="3" t="n">
        <v>22811</v>
      </c>
      <c r="E1007" s="3" t="n">
        <v>214642</v>
      </c>
      <c r="F1007" s="2" t="s">
        <v>14</v>
      </c>
      <c r="G1007" s="3" t="n">
        <v>9409</v>
      </c>
      <c r="H1007" s="2" t="s">
        <v>15</v>
      </c>
      <c r="I1007" s="2" t="n">
        <v>1000</v>
      </c>
      <c r="J1007" s="4" t="n">
        <f aca="false">IFERROR(E1007*I1007/D1007,"")</f>
        <v>9409.5830958748</v>
      </c>
      <c r="K1007" s="5" t="n">
        <f aca="false">IFERROR((J1007-G1007)/G1007,"")</f>
        <v>6.19721410136504E-005</v>
      </c>
      <c r="L1007" s="2" t="str">
        <f aca="false">IF(K1007="","",IF(ABS(K1007)&gt;0.05,"CHECK","OK"))</f>
        <v>OK</v>
      </c>
    </row>
    <row r="1008" customFormat="false" ht="15" hidden="false" customHeight="false" outlineLevel="0" collapsed="false">
      <c r="A1008" s="2" t="s">
        <v>70</v>
      </c>
      <c r="B1008" s="2" t="n">
        <v>2018</v>
      </c>
      <c r="C1008" s="2" t="s">
        <v>90</v>
      </c>
      <c r="D1008" s="3" t="n">
        <v>3532</v>
      </c>
      <c r="E1008" s="3" t="n">
        <v>49384</v>
      </c>
      <c r="F1008" s="2" t="s">
        <v>14</v>
      </c>
      <c r="G1008" s="3" t="n">
        <v>15408</v>
      </c>
      <c r="H1008" s="2" t="s">
        <v>15</v>
      </c>
      <c r="I1008" s="2" t="n">
        <v>1000</v>
      </c>
      <c r="J1008" s="4" t="n">
        <f aca="false">IFERROR(E1008*I1008/D1008,"")</f>
        <v>13981.8799546999</v>
      </c>
      <c r="K1008" s="5" t="n">
        <f aca="false">IFERROR((J1008-G1008)/G1008,"")</f>
        <v>-0.0925571161279928</v>
      </c>
      <c r="L1008" s="2" t="str">
        <f aca="false">IF(K1008="","",IF(ABS(K1008)&gt;0.05,"CHECK","OK"))</f>
        <v>CHECK</v>
      </c>
    </row>
    <row r="1009" customFormat="false" ht="15" hidden="false" customHeight="false" outlineLevel="0" collapsed="false">
      <c r="A1009" s="2" t="s">
        <v>70</v>
      </c>
      <c r="B1009" s="2" t="n">
        <v>2018</v>
      </c>
      <c r="C1009" s="2" t="s">
        <v>91</v>
      </c>
      <c r="D1009" s="3" t="n">
        <v>31687</v>
      </c>
      <c r="E1009" s="3" t="n">
        <v>218595</v>
      </c>
      <c r="F1009" s="2" t="s">
        <v>14</v>
      </c>
      <c r="G1009" s="3" t="n">
        <v>7232</v>
      </c>
      <c r="H1009" s="2" t="s">
        <v>15</v>
      </c>
      <c r="I1009" s="2" t="n">
        <v>1000</v>
      </c>
      <c r="J1009" s="4" t="n">
        <f aca="false">IFERROR(E1009*I1009/D1009,"")</f>
        <v>6898.57039164326</v>
      </c>
      <c r="K1009" s="5" t="n">
        <f aca="false">IFERROR((J1009-G1009)/G1009,"")</f>
        <v>-0.0461047577926908</v>
      </c>
      <c r="L1009" s="2" t="str">
        <f aca="false">IF(K1009="","",IF(ABS(K1009)&gt;0.05,"CHECK","OK"))</f>
        <v>OK</v>
      </c>
    </row>
    <row r="1010" customFormat="false" ht="15" hidden="false" customHeight="false" outlineLevel="0" collapsed="false">
      <c r="A1010" s="2" t="s">
        <v>71</v>
      </c>
      <c r="B1010" s="2" t="n">
        <v>2019</v>
      </c>
      <c r="C1010" s="2" t="s">
        <v>90</v>
      </c>
      <c r="D1010" s="3" t="n">
        <v>4013</v>
      </c>
      <c r="E1010" s="3" t="n">
        <v>84720</v>
      </c>
      <c r="F1010" s="2" t="s">
        <v>14</v>
      </c>
      <c r="G1010" s="3" t="n">
        <v>21113</v>
      </c>
      <c r="H1010" s="2" t="s">
        <v>15</v>
      </c>
      <c r="I1010" s="2" t="n">
        <v>1000</v>
      </c>
      <c r="J1010" s="4" t="n">
        <f aca="false">IFERROR(E1010*I1010/D1010,"")</f>
        <v>21111.3879890356</v>
      </c>
      <c r="K1010" s="5" t="n">
        <f aca="false">IFERROR((J1010-G1010)/G1010,"")</f>
        <v>-7.63515826442037E-005</v>
      </c>
      <c r="L1010" s="2" t="str">
        <f aca="false">IF(K1010="","",IF(ABS(K1010)&gt;0.05,"CHECK","OK"))</f>
        <v>OK</v>
      </c>
    </row>
    <row r="1011" customFormat="false" ht="15" hidden="false" customHeight="false" outlineLevel="0" collapsed="false">
      <c r="A1011" s="2" t="s">
        <v>71</v>
      </c>
      <c r="B1011" s="2" t="n">
        <v>2019</v>
      </c>
      <c r="C1011" s="2" t="s">
        <v>91</v>
      </c>
      <c r="D1011" s="3" t="n">
        <v>33800</v>
      </c>
      <c r="E1011" s="3" t="n">
        <v>261835</v>
      </c>
      <c r="F1011" s="2" t="s">
        <v>14</v>
      </c>
      <c r="G1011" s="3" t="n">
        <v>7747</v>
      </c>
      <c r="H1011" s="2" t="s">
        <v>15</v>
      </c>
      <c r="I1011" s="2" t="n">
        <v>1000</v>
      </c>
      <c r="J1011" s="4" t="n">
        <f aca="false">IFERROR(E1011*I1011/D1011,"")</f>
        <v>7746.59763313609</v>
      </c>
      <c r="K1011" s="5" t="n">
        <f aca="false">IFERROR((J1011-G1011)/G1011,"")</f>
        <v>-5.19384102111303E-005</v>
      </c>
      <c r="L1011" s="2" t="str">
        <f aca="false">IF(K1011="","",IF(ABS(K1011)&gt;0.05,"CHECK","OK"))</f>
        <v>OK</v>
      </c>
    </row>
    <row r="1012" customFormat="false" ht="15" hidden="false" customHeight="false" outlineLevel="0" collapsed="false">
      <c r="A1012" s="2" t="s">
        <v>72</v>
      </c>
      <c r="B1012" s="2" t="n">
        <v>2020</v>
      </c>
      <c r="C1012" s="2" t="s">
        <v>90</v>
      </c>
      <c r="D1012" s="3" t="n">
        <v>3791</v>
      </c>
      <c r="E1012" s="3" t="n">
        <v>73014</v>
      </c>
      <c r="F1012" s="2" t="s">
        <v>14</v>
      </c>
      <c r="G1012" s="3" t="n">
        <v>19259</v>
      </c>
      <c r="H1012" s="2" t="s">
        <v>15</v>
      </c>
      <c r="I1012" s="2" t="n">
        <v>1000</v>
      </c>
      <c r="J1012" s="4" t="n">
        <f aca="false">IFERROR(E1012*I1012/D1012,"")</f>
        <v>19259.8259034556</v>
      </c>
      <c r="K1012" s="5" t="n">
        <f aca="false">IFERROR((J1012-G1012)/G1012,"")</f>
        <v>4.28840259386354E-005</v>
      </c>
      <c r="L1012" s="2" t="str">
        <f aca="false">IF(K1012="","",IF(ABS(K1012)&gt;0.05,"CHECK","OK"))</f>
        <v>OK</v>
      </c>
    </row>
    <row r="1013" customFormat="false" ht="15" hidden="false" customHeight="false" outlineLevel="0" collapsed="false">
      <c r="A1013" s="2" t="s">
        <v>72</v>
      </c>
      <c r="B1013" s="2" t="n">
        <v>2020</v>
      </c>
      <c r="C1013" s="2" t="s">
        <v>91</v>
      </c>
      <c r="D1013" s="3" t="n">
        <v>51027</v>
      </c>
      <c r="E1013" s="3" t="n">
        <v>356939</v>
      </c>
      <c r="F1013" s="2" t="s">
        <v>14</v>
      </c>
      <c r="G1013" s="3" t="n">
        <v>6995</v>
      </c>
      <c r="H1013" s="2" t="s">
        <v>15</v>
      </c>
      <c r="I1013" s="2" t="n">
        <v>1000</v>
      </c>
      <c r="J1013" s="4" t="n">
        <f aca="false">IFERROR(E1013*I1013/D1013,"")</f>
        <v>6995.10063299822</v>
      </c>
      <c r="K1013" s="5" t="n">
        <f aca="false">IFERROR((J1013-G1013)/G1013,"")</f>
        <v>1.43864186156536E-005</v>
      </c>
      <c r="L1013" s="2" t="str">
        <f aca="false">IF(K1013="","",IF(ABS(K1013)&gt;0.05,"CHECK","OK"))</f>
        <v>OK</v>
      </c>
    </row>
    <row r="1014" customFormat="false" ht="15" hidden="false" customHeight="false" outlineLevel="0" collapsed="false">
      <c r="A1014" s="2" t="s">
        <v>73</v>
      </c>
      <c r="B1014" s="2" t="n">
        <v>2021</v>
      </c>
      <c r="C1014" s="2" t="s">
        <v>90</v>
      </c>
      <c r="D1014" s="3" t="n">
        <v>4671</v>
      </c>
      <c r="E1014" s="3" t="n">
        <v>100890</v>
      </c>
      <c r="F1014" s="2" t="s">
        <v>14</v>
      </c>
      <c r="G1014" s="3" t="n">
        <v>21601</v>
      </c>
      <c r="H1014" s="2" t="s">
        <v>15</v>
      </c>
      <c r="I1014" s="2" t="n">
        <v>1000</v>
      </c>
      <c r="J1014" s="4" t="n">
        <f aca="false">IFERROR(E1014*I1014/D1014,"")</f>
        <v>21599.2292870906</v>
      </c>
      <c r="K1014" s="5" t="n">
        <f aca="false">IFERROR((J1014-G1014)/G1014,"")</f>
        <v>-8.19736544345863E-005</v>
      </c>
      <c r="L1014" s="2" t="str">
        <f aca="false">IF(K1014="","",IF(ABS(K1014)&gt;0.05,"CHECK","OK"))</f>
        <v>OK</v>
      </c>
    </row>
    <row r="1015" customFormat="false" ht="15" hidden="false" customHeight="false" outlineLevel="0" collapsed="false">
      <c r="A1015" s="2" t="s">
        <v>73</v>
      </c>
      <c r="B1015" s="2" t="n">
        <v>2021</v>
      </c>
      <c r="C1015" s="2" t="s">
        <v>91</v>
      </c>
      <c r="D1015" s="3" t="n">
        <v>55114</v>
      </c>
      <c r="E1015" s="3" t="n">
        <v>398807</v>
      </c>
      <c r="F1015" s="2" t="s">
        <v>14</v>
      </c>
      <c r="G1015" s="3" t="n">
        <v>7236</v>
      </c>
      <c r="H1015" s="2" t="s">
        <v>15</v>
      </c>
      <c r="I1015" s="2" t="n">
        <v>1000</v>
      </c>
      <c r="J1015" s="4" t="n">
        <f aca="false">IFERROR(E1015*I1015/D1015,"")</f>
        <v>7236.03803026454</v>
      </c>
      <c r="K1015" s="5" t="n">
        <f aca="false">IFERROR((J1015-G1015)/G1015,"")</f>
        <v>5.25570267310845E-006</v>
      </c>
      <c r="L1015" s="2" t="str">
        <f aca="false">IF(K1015="","",IF(ABS(K1015)&gt;0.05,"CHECK","OK"))</f>
        <v>OK</v>
      </c>
    </row>
    <row r="1016" customFormat="false" ht="15" hidden="false" customHeight="false" outlineLevel="0" collapsed="false">
      <c r="A1016" s="2" t="s">
        <v>74</v>
      </c>
      <c r="B1016" s="2" t="n">
        <v>2022</v>
      </c>
      <c r="C1016" s="2" t="s">
        <v>90</v>
      </c>
      <c r="D1016" s="3" t="n">
        <v>4807</v>
      </c>
      <c r="E1016" s="3" t="n">
        <v>102863</v>
      </c>
      <c r="F1016" s="2" t="s">
        <v>14</v>
      </c>
      <c r="G1016" s="3" t="n">
        <v>21394</v>
      </c>
      <c r="H1016" s="2" t="s">
        <v>15</v>
      </c>
      <c r="I1016" s="2" t="n">
        <v>1000</v>
      </c>
      <c r="J1016" s="4" t="n">
        <f aca="false">IFERROR(E1016*I1016/D1016,"")</f>
        <v>21398.5853962971</v>
      </c>
      <c r="K1016" s="5" t="n">
        <f aca="false">IFERROR((J1016-G1016)/G1016,"")</f>
        <v>0.000214330947792139</v>
      </c>
      <c r="L1016" s="2" t="str">
        <f aca="false">IF(K1016="","",IF(ABS(K1016)&gt;0.05,"CHECK","OK"))</f>
        <v>OK</v>
      </c>
    </row>
    <row r="1017" customFormat="false" ht="15" hidden="false" customHeight="false" outlineLevel="0" collapsed="false">
      <c r="A1017" s="2" t="s">
        <v>74</v>
      </c>
      <c r="B1017" s="2" t="n">
        <v>2022</v>
      </c>
      <c r="C1017" s="2" t="s">
        <v>91</v>
      </c>
      <c r="D1017" s="3" t="n">
        <v>43259</v>
      </c>
      <c r="E1017" s="3" t="n">
        <v>359785</v>
      </c>
      <c r="F1017" s="2" t="s">
        <v>14</v>
      </c>
      <c r="G1017" s="3" t="n">
        <v>8317</v>
      </c>
      <c r="H1017" s="2" t="s">
        <v>15</v>
      </c>
      <c r="I1017" s="2" t="n">
        <v>1000</v>
      </c>
      <c r="J1017" s="4" t="n">
        <f aca="false">IFERROR(E1017*I1017/D1017,"")</f>
        <v>8316.99761899258</v>
      </c>
      <c r="K1017" s="5" t="n">
        <f aca="false">IFERROR((J1017-G1017)/G1017,"")</f>
        <v>-2.86282003113996E-007</v>
      </c>
      <c r="L1017" s="2" t="str">
        <f aca="false">IF(K1017="","",IF(ABS(K1017)&gt;0.05,"CHECK","OK"))</f>
        <v>OK</v>
      </c>
    </row>
    <row r="1018" customFormat="false" ht="15" hidden="false" customHeight="false" outlineLevel="0" collapsed="false">
      <c r="A1018" s="2" t="s">
        <v>75</v>
      </c>
      <c r="B1018" s="2" t="n">
        <v>2023</v>
      </c>
      <c r="C1018" s="2" t="s">
        <v>90</v>
      </c>
      <c r="D1018" s="3" t="n">
        <v>4716</v>
      </c>
      <c r="E1018" s="3" t="n">
        <v>88966</v>
      </c>
      <c r="F1018" s="2" t="s">
        <v>14</v>
      </c>
      <c r="G1018" s="3" t="n">
        <v>18856</v>
      </c>
      <c r="H1018" s="2" t="s">
        <v>15</v>
      </c>
      <c r="I1018" s="2" t="n">
        <v>1000</v>
      </c>
      <c r="J1018" s="4" t="n">
        <f aca="false">IFERROR(E1018*I1018/D1018,"")</f>
        <v>18864.7158608991</v>
      </c>
      <c r="K1018" s="5" t="n">
        <f aca="false">IFERROR((J1018-G1018)/G1018,"")</f>
        <v>0.000462232758754163</v>
      </c>
      <c r="L1018" s="2" t="str">
        <f aca="false">IF(K1018="","",IF(ABS(K1018)&gt;0.05,"CHECK","OK"))</f>
        <v>OK</v>
      </c>
    </row>
    <row r="1019" customFormat="false" ht="15" hidden="false" customHeight="false" outlineLevel="0" collapsed="false">
      <c r="A1019" s="2" t="s">
        <v>75</v>
      </c>
      <c r="B1019" s="2" t="n">
        <v>2023</v>
      </c>
      <c r="C1019" s="2" t="s">
        <v>91</v>
      </c>
      <c r="D1019" s="3" t="n">
        <v>43352</v>
      </c>
      <c r="E1019" s="3" t="n">
        <v>368426</v>
      </c>
      <c r="F1019" s="2" t="s">
        <v>14</v>
      </c>
      <c r="G1019" s="3" t="n">
        <v>8498</v>
      </c>
      <c r="H1019" s="2" t="s">
        <v>15</v>
      </c>
      <c r="I1019" s="2" t="n">
        <v>1000</v>
      </c>
      <c r="J1019" s="4" t="n">
        <f aca="false">IFERROR(E1019*I1019/D1019,"")</f>
        <v>8498.4775788891</v>
      </c>
      <c r="K1019" s="5" t="n">
        <f aca="false">IFERROR((J1019-G1019)/G1019,"")</f>
        <v>5.61989749464262E-005</v>
      </c>
      <c r="L1019" s="2" t="str">
        <f aca="false">IF(K1019="","",IF(ABS(K1019)&gt;0.05,"CHECK","OK"))</f>
        <v>OK</v>
      </c>
    </row>
    <row r="1020" customFormat="false" ht="15" hidden="false" customHeight="false" outlineLevel="0" collapsed="false">
      <c r="A1020" s="2" t="s">
        <v>76</v>
      </c>
      <c r="B1020" s="2" t="n">
        <v>2024</v>
      </c>
      <c r="C1020" s="2" t="s">
        <v>90</v>
      </c>
      <c r="D1020" s="3" t="n">
        <v>5239</v>
      </c>
      <c r="E1020" s="3" t="n">
        <v>112053</v>
      </c>
      <c r="F1020" s="2" t="s">
        <v>14</v>
      </c>
      <c r="G1020" s="3" t="n">
        <v>21390</v>
      </c>
      <c r="H1020" s="2" t="s">
        <v>15</v>
      </c>
      <c r="I1020" s="2" t="n">
        <v>1000</v>
      </c>
      <c r="J1020" s="4" t="n">
        <f aca="false">IFERROR(E1020*I1020/D1020,"")</f>
        <v>21388.2420309219</v>
      </c>
      <c r="K1020" s="5" t="n">
        <f aca="false">IFERROR((J1020-G1020)/G1020,"")</f>
        <v>-8.21864926633678E-005</v>
      </c>
      <c r="L1020" s="2" t="str">
        <f aca="false">IF(K1020="","",IF(ABS(K1020)&gt;0.05,"CHECK","OK"))</f>
        <v>OK</v>
      </c>
    </row>
    <row r="1021" customFormat="false" ht="15" hidden="false" customHeight="false" outlineLevel="0" collapsed="false">
      <c r="A1021" s="2" t="s">
        <v>76</v>
      </c>
      <c r="B1021" s="2" t="n">
        <v>2024</v>
      </c>
      <c r="C1021" s="2" t="s">
        <v>91</v>
      </c>
      <c r="D1021" s="3" t="n">
        <v>44049</v>
      </c>
      <c r="E1021" s="3" t="n">
        <v>378541</v>
      </c>
      <c r="F1021" s="2" t="s">
        <v>14</v>
      </c>
      <c r="G1021" s="3" t="n">
        <v>8594</v>
      </c>
      <c r="H1021" s="2" t="s">
        <v>15</v>
      </c>
      <c r="I1021" s="2" t="n">
        <v>1000</v>
      </c>
      <c r="J1021" s="4" t="n">
        <f aca="false">IFERROR(E1021*I1021/D1021,"")</f>
        <v>8593.63436173352</v>
      </c>
      <c r="K1021" s="5" t="n">
        <f aca="false">IFERROR((J1021-G1021)/G1021,"")</f>
        <v>-4.25457605859668E-005</v>
      </c>
      <c r="L1021" s="2" t="str">
        <f aca="false">IF(K1021="","",IF(ABS(K1021)&gt;0.05,"CHECK","OK"))</f>
        <v>OK</v>
      </c>
    </row>
    <row r="1022" customFormat="false" ht="15" hidden="false" customHeight="false" outlineLevel="0" collapsed="false">
      <c r="A1022" s="2" t="s">
        <v>12</v>
      </c>
      <c r="B1022" s="2" t="n">
        <v>1965</v>
      </c>
      <c r="C1022" s="2" t="s">
        <v>92</v>
      </c>
      <c r="D1022" s="3" t="n">
        <v>100990</v>
      </c>
      <c r="E1022" s="3" t="n">
        <v>954960</v>
      </c>
      <c r="F1022" s="2" t="s">
        <v>93</v>
      </c>
      <c r="G1022" s="3" t="n">
        <v>9456</v>
      </c>
      <c r="H1022" s="2" t="s">
        <v>15</v>
      </c>
      <c r="I1022" s="2" t="n">
        <v>1000</v>
      </c>
      <c r="J1022" s="4" t="n">
        <f aca="false">IFERROR(E1022*I1022/D1022,"")</f>
        <v>9455.98574116249</v>
      </c>
      <c r="K1022" s="5" t="n">
        <f aca="false">IFERROR((J1022-G1022)/G1022,"")</f>
        <v>-1.50791428820432E-006</v>
      </c>
      <c r="L1022" s="2" t="str">
        <f aca="false">IF(K1022="","",IF(ABS(K1022)&gt;0.05,"CHECK","OK"))</f>
        <v>OK</v>
      </c>
    </row>
    <row r="1023" customFormat="false" ht="15" hidden="false" customHeight="false" outlineLevel="0" collapsed="false">
      <c r="A1023" s="2" t="s">
        <v>12</v>
      </c>
      <c r="B1023" s="2" t="n">
        <v>1965</v>
      </c>
      <c r="C1023" s="2" t="s">
        <v>94</v>
      </c>
      <c r="D1023" s="3" t="n">
        <v>321299</v>
      </c>
      <c r="E1023" s="3" t="n">
        <v>318632</v>
      </c>
      <c r="F1023" s="2" t="s">
        <v>95</v>
      </c>
      <c r="G1023" s="3" t="n">
        <v>169</v>
      </c>
      <c r="H1023" s="2" t="s">
        <v>15</v>
      </c>
      <c r="I1023" s="2" t="n">
        <v>170</v>
      </c>
      <c r="J1023" s="4" t="n">
        <f aca="false">IFERROR(E1023*I1023/D1023,"")</f>
        <v>168.588884496995</v>
      </c>
      <c r="K1023" s="5" t="n">
        <f aca="false">IFERROR((J1023-G1023)/G1023,"")</f>
        <v>-0.00243263611245558</v>
      </c>
      <c r="L1023" s="2" t="str">
        <f aca="false">IF(K1023="","",IF(ABS(K1023)&gt;0.05,"CHECK","OK"))</f>
        <v>OK</v>
      </c>
    </row>
    <row r="1024" customFormat="false" ht="15" hidden="false" customHeight="false" outlineLevel="0" collapsed="false">
      <c r="A1024" s="2" t="s">
        <v>18</v>
      </c>
      <c r="B1024" s="2" t="n">
        <v>1966</v>
      </c>
      <c r="C1024" s="2" t="s">
        <v>92</v>
      </c>
      <c r="D1024" s="3" t="n">
        <v>89843</v>
      </c>
      <c r="E1024" s="3" t="n">
        <v>831490</v>
      </c>
      <c r="F1024" s="2" t="s">
        <v>93</v>
      </c>
      <c r="G1024" s="3" t="n">
        <v>9255</v>
      </c>
      <c r="H1024" s="2" t="s">
        <v>15</v>
      </c>
      <c r="I1024" s="2" t="n">
        <v>1000</v>
      </c>
      <c r="J1024" s="4" t="n">
        <f aca="false">IFERROR(E1024*I1024/D1024,"")</f>
        <v>9254.92247587458</v>
      </c>
      <c r="K1024" s="5" t="n">
        <f aca="false">IFERROR((J1024-G1024)/G1024,"")</f>
        <v>-8.37645871632482E-006</v>
      </c>
      <c r="L1024" s="2" t="str">
        <f aca="false">IF(K1024="","",IF(ABS(K1024)&gt;0.05,"CHECK","OK"))</f>
        <v>OK</v>
      </c>
    </row>
    <row r="1025" customFormat="false" ht="15" hidden="false" customHeight="false" outlineLevel="0" collapsed="false">
      <c r="A1025" s="2" t="s">
        <v>18</v>
      </c>
      <c r="B1025" s="2" t="n">
        <v>1966</v>
      </c>
      <c r="C1025" s="2" t="s">
        <v>94</v>
      </c>
      <c r="D1025" s="3" t="n">
        <v>313124</v>
      </c>
      <c r="E1025" s="3" t="n">
        <v>354505</v>
      </c>
      <c r="F1025" s="2" t="s">
        <v>95</v>
      </c>
      <c r="G1025" s="3" t="n">
        <v>192</v>
      </c>
      <c r="H1025" s="2" t="s">
        <v>15</v>
      </c>
      <c r="I1025" s="2" t="n">
        <v>170</v>
      </c>
      <c r="J1025" s="4" t="n">
        <f aca="false">IFERROR(E1025*I1025/D1025,"")</f>
        <v>192.466403086317</v>
      </c>
      <c r="K1025" s="5" t="n">
        <f aca="false">IFERROR((J1025-G1025)/G1025,"")</f>
        <v>0.00242918274123557</v>
      </c>
      <c r="L1025" s="2" t="str">
        <f aca="false">IF(K1025="","",IF(ABS(K1025)&gt;0.05,"CHECK","OK"))</f>
        <v>OK</v>
      </c>
    </row>
    <row r="1026" customFormat="false" ht="15" hidden="false" customHeight="false" outlineLevel="0" collapsed="false">
      <c r="A1026" s="2" t="s">
        <v>19</v>
      </c>
      <c r="B1026" s="2" t="n">
        <v>1967</v>
      </c>
      <c r="C1026" s="2" t="s">
        <v>92</v>
      </c>
      <c r="D1026" s="3" t="n">
        <v>106973</v>
      </c>
      <c r="E1026" s="3" t="n">
        <v>888430</v>
      </c>
      <c r="F1026" s="2" t="s">
        <v>93</v>
      </c>
      <c r="G1026" s="3" t="n">
        <v>8306</v>
      </c>
      <c r="H1026" s="2" t="s">
        <v>15</v>
      </c>
      <c r="I1026" s="2" t="n">
        <v>1000</v>
      </c>
      <c r="J1026" s="4" t="n">
        <f aca="false">IFERROR(E1026*I1026/D1026,"")</f>
        <v>8305.17981172819</v>
      </c>
      <c r="K1026" s="5" t="n">
        <f aca="false">IFERROR((J1026-G1026)/G1026,"")</f>
        <v>-9.8746481074842E-005</v>
      </c>
      <c r="L1026" s="2" t="str">
        <f aca="false">IF(K1026="","",IF(ABS(K1026)&gt;0.05,"CHECK","OK"))</f>
        <v>OK</v>
      </c>
    </row>
    <row r="1027" customFormat="false" ht="15" hidden="false" customHeight="false" outlineLevel="0" collapsed="false">
      <c r="A1027" s="2" t="s">
        <v>19</v>
      </c>
      <c r="B1027" s="2" t="n">
        <v>1967</v>
      </c>
      <c r="C1027" s="2" t="s">
        <v>94</v>
      </c>
      <c r="D1027" s="3" t="n">
        <v>293845</v>
      </c>
      <c r="E1027" s="3" t="n">
        <v>316726</v>
      </c>
      <c r="F1027" s="2" t="s">
        <v>95</v>
      </c>
      <c r="G1027" s="3" t="n">
        <v>183</v>
      </c>
      <c r="H1027" s="2" t="s">
        <v>15</v>
      </c>
      <c r="I1027" s="2" t="n">
        <v>170</v>
      </c>
      <c r="J1027" s="4" t="n">
        <f aca="false">IFERROR(E1027*I1027/D1027,"")</f>
        <v>183.237489152444</v>
      </c>
      <c r="K1027" s="5" t="n">
        <f aca="false">IFERROR((J1027-G1027)/G1027,"")</f>
        <v>0.00129775493138968</v>
      </c>
      <c r="L1027" s="2" t="str">
        <f aca="false">IF(K1027="","",IF(ABS(K1027)&gt;0.05,"CHECK","OK"))</f>
        <v>OK</v>
      </c>
    </row>
    <row r="1028" customFormat="false" ht="15" hidden="false" customHeight="false" outlineLevel="0" collapsed="false">
      <c r="A1028" s="2" t="s">
        <v>20</v>
      </c>
      <c r="B1028" s="2" t="n">
        <v>1968</v>
      </c>
      <c r="C1028" s="2" t="s">
        <v>92</v>
      </c>
      <c r="D1028" s="3" t="n">
        <v>171766</v>
      </c>
      <c r="E1028" s="3" t="n">
        <v>1513820</v>
      </c>
      <c r="F1028" s="2" t="s">
        <v>93</v>
      </c>
      <c r="G1028" s="3" t="n">
        <v>8813</v>
      </c>
      <c r="H1028" s="2" t="s">
        <v>15</v>
      </c>
      <c r="I1028" s="2" t="n">
        <v>1000</v>
      </c>
      <c r="J1028" s="4" t="n">
        <f aca="false">IFERROR(E1028*I1028/D1028,"")</f>
        <v>8813.26921509496</v>
      </c>
      <c r="K1028" s="5" t="n">
        <f aca="false">IFERROR((J1028-G1028)/G1028,"")</f>
        <v>3.05474974418635E-005</v>
      </c>
      <c r="L1028" s="2" t="str">
        <f aca="false">IF(K1028="","",IF(ABS(K1028)&gt;0.05,"CHECK","OK"))</f>
        <v>OK</v>
      </c>
    </row>
    <row r="1029" customFormat="false" ht="15" hidden="false" customHeight="false" outlineLevel="0" collapsed="false">
      <c r="A1029" s="2" t="s">
        <v>20</v>
      </c>
      <c r="B1029" s="2" t="n">
        <v>1968</v>
      </c>
      <c r="C1029" s="2" t="s">
        <v>94</v>
      </c>
      <c r="D1029" s="3" t="n">
        <v>275524</v>
      </c>
      <c r="E1029" s="3" t="n">
        <v>264611</v>
      </c>
      <c r="F1029" s="2" t="s">
        <v>95</v>
      </c>
      <c r="G1029" s="3" t="n">
        <v>163</v>
      </c>
      <c r="H1029" s="2" t="s">
        <v>15</v>
      </c>
      <c r="I1029" s="2" t="n">
        <v>170</v>
      </c>
      <c r="J1029" s="4" t="n">
        <f aca="false">IFERROR(E1029*I1029/D1029,"")</f>
        <v>163.266611982985</v>
      </c>
      <c r="K1029" s="5" t="n">
        <f aca="false">IFERROR((J1029-G1029)/G1029,"")</f>
        <v>0.00163565633733223</v>
      </c>
      <c r="L1029" s="2" t="str">
        <f aca="false">IF(K1029="","",IF(ABS(K1029)&gt;0.05,"CHECK","OK"))</f>
        <v>OK</v>
      </c>
    </row>
    <row r="1030" customFormat="false" ht="15" hidden="false" customHeight="false" outlineLevel="0" collapsed="false">
      <c r="A1030" s="2" t="s">
        <v>21</v>
      </c>
      <c r="B1030" s="2" t="n">
        <v>1969</v>
      </c>
      <c r="C1030" s="2" t="s">
        <v>92</v>
      </c>
      <c r="D1030" s="3" t="n">
        <v>138519</v>
      </c>
      <c r="E1030" s="3" t="n">
        <v>1192430</v>
      </c>
      <c r="F1030" s="2" t="s">
        <v>93</v>
      </c>
      <c r="G1030" s="3" t="n">
        <v>8608</v>
      </c>
      <c r="H1030" s="2" t="s">
        <v>15</v>
      </c>
      <c r="I1030" s="2" t="n">
        <v>1000</v>
      </c>
      <c r="J1030" s="4" t="n">
        <f aca="false">IFERROR(E1030*I1030/D1030,"")</f>
        <v>8608.42194933547</v>
      </c>
      <c r="K1030" s="5" t="n">
        <f aca="false">IFERROR((J1030-G1030)/G1030,"")</f>
        <v>4.90182778195103E-005</v>
      </c>
      <c r="L1030" s="2" t="str">
        <f aca="false">IF(K1030="","",IF(ABS(K1030)&gt;0.05,"CHECK","OK"))</f>
        <v>OK</v>
      </c>
    </row>
    <row r="1031" customFormat="false" ht="15" hidden="false" customHeight="false" outlineLevel="0" collapsed="false">
      <c r="A1031" s="2" t="s">
        <v>21</v>
      </c>
      <c r="B1031" s="2" t="n">
        <v>1969</v>
      </c>
      <c r="C1031" s="2" t="s">
        <v>94</v>
      </c>
      <c r="D1031" s="3" t="n">
        <v>281268</v>
      </c>
      <c r="E1031" s="3" t="n">
        <v>342932</v>
      </c>
      <c r="F1031" s="2" t="s">
        <v>95</v>
      </c>
      <c r="G1031" s="3" t="n">
        <v>207</v>
      </c>
      <c r="H1031" s="2" t="s">
        <v>15</v>
      </c>
      <c r="I1031" s="2" t="n">
        <v>170</v>
      </c>
      <c r="J1031" s="4" t="n">
        <f aca="false">IFERROR(E1031*I1031/D1031,"")</f>
        <v>207.270076937298</v>
      </c>
      <c r="K1031" s="5" t="n">
        <f aca="false">IFERROR((J1031-G1031)/G1031,"")</f>
        <v>0.00130471950385617</v>
      </c>
      <c r="L1031" s="2" t="str">
        <f aca="false">IF(K1031="","",IF(ABS(K1031)&gt;0.05,"CHECK","OK"))</f>
        <v>OK</v>
      </c>
    </row>
    <row r="1032" customFormat="false" ht="15" hidden="false" customHeight="false" outlineLevel="0" collapsed="false">
      <c r="A1032" s="2" t="s">
        <v>22</v>
      </c>
      <c r="B1032" s="2" t="n">
        <v>1970</v>
      </c>
      <c r="C1032" s="2" t="s">
        <v>92</v>
      </c>
      <c r="D1032" s="3" t="n">
        <v>113924</v>
      </c>
      <c r="E1032" s="3" t="n">
        <v>1074270</v>
      </c>
      <c r="F1032" s="2" t="s">
        <v>93</v>
      </c>
      <c r="G1032" s="3" t="n">
        <v>9430</v>
      </c>
      <c r="H1032" s="2" t="s">
        <v>15</v>
      </c>
      <c r="I1032" s="2" t="n">
        <v>1000</v>
      </c>
      <c r="J1032" s="4" t="n">
        <f aca="false">IFERROR(E1032*I1032/D1032,"")</f>
        <v>9429.70752431446</v>
      </c>
      <c r="K1032" s="5" t="n">
        <f aca="false">IFERROR((J1032-G1032)/G1032,"")</f>
        <v>-3.1015449156369E-005</v>
      </c>
      <c r="L1032" s="2" t="str">
        <f aca="false">IF(K1032="","",IF(ABS(K1032)&gt;0.05,"CHECK","OK"))</f>
        <v>OK</v>
      </c>
    </row>
    <row r="1033" customFormat="false" ht="15" hidden="false" customHeight="false" outlineLevel="0" collapsed="false">
      <c r="A1033" s="2" t="s">
        <v>22</v>
      </c>
      <c r="B1033" s="2" t="n">
        <v>1970</v>
      </c>
      <c r="C1033" s="2" t="s">
        <v>94</v>
      </c>
      <c r="D1033" s="3" t="n">
        <v>296029</v>
      </c>
      <c r="E1033" s="3" t="n">
        <v>341926</v>
      </c>
      <c r="F1033" s="2" t="s">
        <v>95</v>
      </c>
      <c r="G1033" s="3" t="n">
        <v>196</v>
      </c>
      <c r="H1033" s="2" t="s">
        <v>15</v>
      </c>
      <c r="I1033" s="2" t="n">
        <v>170</v>
      </c>
      <c r="J1033" s="4" t="n">
        <f aca="false">IFERROR(E1033*I1033/D1033,"")</f>
        <v>196.35718122211</v>
      </c>
      <c r="K1033" s="5" t="n">
        <f aca="false">IFERROR((J1033-G1033)/G1033,"")</f>
        <v>0.00182235317403061</v>
      </c>
      <c r="L1033" s="2" t="str">
        <f aca="false">IF(K1033="","",IF(ABS(K1033)&gt;0.05,"CHECK","OK"))</f>
        <v>OK</v>
      </c>
    </row>
    <row r="1034" customFormat="false" ht="15" hidden="false" customHeight="false" outlineLevel="0" collapsed="false">
      <c r="A1034" s="2" t="s">
        <v>23</v>
      </c>
      <c r="B1034" s="2" t="n">
        <v>1971</v>
      </c>
      <c r="C1034" s="2" t="s">
        <v>92</v>
      </c>
      <c r="D1034" s="3" t="n">
        <v>116517</v>
      </c>
      <c r="E1034" s="3" t="n">
        <v>1075980</v>
      </c>
      <c r="F1034" s="2" t="s">
        <v>93</v>
      </c>
      <c r="G1034" s="3" t="n">
        <v>9235</v>
      </c>
      <c r="H1034" s="2" t="s">
        <v>15</v>
      </c>
      <c r="I1034" s="2" t="n">
        <v>1000</v>
      </c>
      <c r="J1034" s="4" t="n">
        <f aca="false">IFERROR(E1034*I1034/D1034,"")</f>
        <v>9234.53230000772</v>
      </c>
      <c r="K1034" s="5" t="n">
        <f aca="false">IFERROR((J1034-G1034)/G1034,"")</f>
        <v>-5.0644287198247E-005</v>
      </c>
      <c r="L1034" s="2" t="str">
        <f aca="false">IF(K1034="","",IF(ABS(K1034)&gt;0.05,"CHECK","OK"))</f>
        <v>OK</v>
      </c>
    </row>
    <row r="1035" customFormat="false" ht="15" hidden="false" customHeight="false" outlineLevel="0" collapsed="false">
      <c r="A1035" s="2" t="s">
        <v>23</v>
      </c>
      <c r="B1035" s="2" t="n">
        <v>1971</v>
      </c>
      <c r="C1035" s="2" t="s">
        <v>94</v>
      </c>
      <c r="D1035" s="3" t="n">
        <v>338216</v>
      </c>
      <c r="E1035" s="3" t="n">
        <v>447152</v>
      </c>
      <c r="F1035" s="2" t="s">
        <v>95</v>
      </c>
      <c r="G1035" s="3" t="n">
        <v>225</v>
      </c>
      <c r="H1035" s="2" t="s">
        <v>15</v>
      </c>
      <c r="I1035" s="2" t="n">
        <v>170</v>
      </c>
      <c r="J1035" s="4" t="n">
        <f aca="false">IFERROR(E1035*I1035/D1035,"")</f>
        <v>224.755304302576</v>
      </c>
      <c r="K1035" s="5" t="n">
        <f aca="false">IFERROR((J1035-G1035)/G1035,"")</f>
        <v>-0.00108753643299615</v>
      </c>
      <c r="L1035" s="2" t="str">
        <f aca="false">IF(K1035="","",IF(ABS(K1035)&gt;0.05,"CHECK","OK"))</f>
        <v>OK</v>
      </c>
    </row>
    <row r="1036" customFormat="false" ht="15" hidden="false" customHeight="false" outlineLevel="0" collapsed="false">
      <c r="A1036" s="2" t="s">
        <v>24</v>
      </c>
      <c r="B1036" s="2" t="n">
        <v>1972</v>
      </c>
      <c r="C1036" s="2" t="s">
        <v>92</v>
      </c>
      <c r="D1036" s="3" t="n">
        <v>143926</v>
      </c>
      <c r="E1036" s="3" t="n">
        <v>1249990</v>
      </c>
      <c r="F1036" s="2" t="s">
        <v>93</v>
      </c>
      <c r="G1036" s="3" t="n">
        <v>8685</v>
      </c>
      <c r="H1036" s="2" t="s">
        <v>15</v>
      </c>
      <c r="I1036" s="2" t="n">
        <v>1000</v>
      </c>
      <c r="J1036" s="4" t="n">
        <f aca="false">IFERROR(E1036*I1036/D1036,"")</f>
        <v>8684.9492100107</v>
      </c>
      <c r="K1036" s="5" t="n">
        <f aca="false">IFERROR((J1036-G1036)/G1036,"")</f>
        <v>-5.84801258491981E-006</v>
      </c>
      <c r="L1036" s="2" t="str">
        <f aca="false">IF(K1036="","",IF(ABS(K1036)&gt;0.05,"CHECK","OK"))</f>
        <v>OK</v>
      </c>
    </row>
    <row r="1037" customFormat="false" ht="15" hidden="false" customHeight="false" outlineLevel="0" collapsed="false">
      <c r="A1037" s="2" t="s">
        <v>24</v>
      </c>
      <c r="B1037" s="2" t="n">
        <v>1972</v>
      </c>
      <c r="C1037" s="2" t="s">
        <v>94</v>
      </c>
      <c r="D1037" s="3" t="n">
        <v>302503</v>
      </c>
      <c r="E1037" s="3" t="n">
        <v>346140</v>
      </c>
      <c r="F1037" s="2" t="s">
        <v>95</v>
      </c>
      <c r="G1037" s="3" t="n">
        <v>195</v>
      </c>
      <c r="H1037" s="2" t="s">
        <v>15</v>
      </c>
      <c r="I1037" s="2" t="n">
        <v>170</v>
      </c>
      <c r="J1037" s="4" t="n">
        <f aca="false">IFERROR(E1037*I1037/D1037,"")</f>
        <v>194.523029523674</v>
      </c>
      <c r="K1037" s="5" t="n">
        <f aca="false">IFERROR((J1037-G1037)/G1037,"")</f>
        <v>-0.00244600244269665</v>
      </c>
      <c r="L1037" s="2" t="str">
        <f aca="false">IF(K1037="","",IF(ABS(K1037)&gt;0.05,"CHECK","OK"))</f>
        <v>OK</v>
      </c>
    </row>
    <row r="1038" customFormat="false" ht="15" hidden="false" customHeight="false" outlineLevel="0" collapsed="false">
      <c r="A1038" s="2" t="s">
        <v>25</v>
      </c>
      <c r="B1038" s="2" t="n">
        <v>1973</v>
      </c>
      <c r="C1038" s="2" t="s">
        <v>92</v>
      </c>
      <c r="D1038" s="3" t="n">
        <v>186228</v>
      </c>
      <c r="E1038" s="3" t="n">
        <v>1759750</v>
      </c>
      <c r="F1038" s="2" t="s">
        <v>93</v>
      </c>
      <c r="G1038" s="3" t="n">
        <v>9449</v>
      </c>
      <c r="H1038" s="2" t="s">
        <v>15</v>
      </c>
      <c r="I1038" s="2" t="n">
        <v>1000</v>
      </c>
      <c r="J1038" s="4" t="n">
        <f aca="false">IFERROR(E1038*I1038/D1038,"")</f>
        <v>9449.438322916</v>
      </c>
      <c r="K1038" s="5" t="n">
        <f aca="false">IFERROR((J1038-G1038)/G1038,"")</f>
        <v>4.63882861673977E-005</v>
      </c>
      <c r="L1038" s="2" t="str">
        <f aca="false">IF(K1038="","",IF(ABS(K1038)&gt;0.05,"CHECK","OK"))</f>
        <v>OK</v>
      </c>
    </row>
    <row r="1039" customFormat="false" ht="15" hidden="false" customHeight="false" outlineLevel="0" collapsed="false">
      <c r="A1039" s="2" t="s">
        <v>25</v>
      </c>
      <c r="B1039" s="2" t="n">
        <v>1973</v>
      </c>
      <c r="C1039" s="2" t="s">
        <v>94</v>
      </c>
      <c r="D1039" s="3" t="n">
        <v>299469</v>
      </c>
      <c r="E1039" s="3" t="n">
        <v>474713</v>
      </c>
      <c r="F1039" s="2" t="s">
        <v>95</v>
      </c>
      <c r="G1039" s="3" t="n">
        <v>269</v>
      </c>
      <c r="H1039" s="2" t="s">
        <v>15</v>
      </c>
      <c r="I1039" s="2" t="n">
        <v>170</v>
      </c>
      <c r="J1039" s="4" t="n">
        <f aca="false">IFERROR(E1039*I1039/D1039,"")</f>
        <v>269.481014729404</v>
      </c>
      <c r="K1039" s="5" t="n">
        <f aca="false">IFERROR((J1039-G1039)/G1039,"")</f>
        <v>0.00178815884536938</v>
      </c>
      <c r="L1039" s="2" t="str">
        <f aca="false">IF(K1039="","",IF(ABS(K1039)&gt;0.05,"CHECK","OK"))</f>
        <v>OK</v>
      </c>
    </row>
    <row r="1040" customFormat="false" ht="15" hidden="false" customHeight="false" outlineLevel="0" collapsed="false">
      <c r="A1040" s="2" t="s">
        <v>26</v>
      </c>
      <c r="B1040" s="2" t="n">
        <v>1974</v>
      </c>
      <c r="C1040" s="2" t="s">
        <v>92</v>
      </c>
      <c r="D1040" s="3" t="n">
        <v>160405</v>
      </c>
      <c r="E1040" s="3" t="n">
        <v>1472450</v>
      </c>
      <c r="F1040" s="2" t="s">
        <v>93</v>
      </c>
      <c r="G1040" s="3" t="n">
        <v>9180</v>
      </c>
      <c r="H1040" s="2" t="s">
        <v>15</v>
      </c>
      <c r="I1040" s="2" t="n">
        <v>1000</v>
      </c>
      <c r="J1040" s="4" t="n">
        <f aca="false">IFERROR(E1040*I1040/D1040,"")</f>
        <v>9179.57669648702</v>
      </c>
      <c r="K1040" s="5" t="n">
        <f aca="false">IFERROR((J1040-G1040)/G1040,"")</f>
        <v>-4.61114937888752E-005</v>
      </c>
      <c r="L1040" s="2" t="str">
        <f aca="false">IF(K1040="","",IF(ABS(K1040)&gt;0.05,"CHECK","OK"))</f>
        <v>OK</v>
      </c>
    </row>
    <row r="1041" customFormat="false" ht="15" hidden="false" customHeight="false" outlineLevel="0" collapsed="false">
      <c r="A1041" s="2" t="s">
        <v>26</v>
      </c>
      <c r="B1041" s="2" t="n">
        <v>1974</v>
      </c>
      <c r="C1041" s="2" t="s">
        <v>94</v>
      </c>
      <c r="D1041" s="3" t="n">
        <v>249372</v>
      </c>
      <c r="E1041" s="3" t="n">
        <v>274140</v>
      </c>
      <c r="F1041" s="2" t="s">
        <v>95</v>
      </c>
      <c r="G1041" s="3" t="n">
        <v>187</v>
      </c>
      <c r="H1041" s="2" t="s">
        <v>15</v>
      </c>
      <c r="I1041" s="2" t="n">
        <v>170</v>
      </c>
      <c r="J1041" s="4" t="n">
        <f aca="false">IFERROR(E1041*I1041/D1041,"")</f>
        <v>186.88465425148</v>
      </c>
      <c r="K1041" s="5" t="n">
        <f aca="false">IFERROR((J1041-G1041)/G1041,"")</f>
        <v>-0.000616822184600371</v>
      </c>
      <c r="L1041" s="2" t="str">
        <f aca="false">IF(K1041="","",IF(ABS(K1041)&gt;0.05,"CHECK","OK"))</f>
        <v>OK</v>
      </c>
    </row>
    <row r="1042" customFormat="false" ht="15" hidden="false" customHeight="false" outlineLevel="0" collapsed="false">
      <c r="A1042" s="2" t="s">
        <v>27</v>
      </c>
      <c r="B1042" s="2" t="n">
        <v>1975</v>
      </c>
      <c r="C1042" s="2" t="s">
        <v>92</v>
      </c>
      <c r="D1042" s="3" t="n">
        <v>128344</v>
      </c>
      <c r="E1042" s="3" t="n">
        <v>1312140</v>
      </c>
      <c r="F1042" s="2" t="s">
        <v>93</v>
      </c>
      <c r="G1042" s="3" t="n">
        <v>10224</v>
      </c>
      <c r="H1042" s="2" t="s">
        <v>15</v>
      </c>
      <c r="I1042" s="2" t="n">
        <v>1000</v>
      </c>
      <c r="J1042" s="4" t="n">
        <f aca="false">IFERROR(E1042*I1042/D1042,"")</f>
        <v>10223.6177772237</v>
      </c>
      <c r="K1042" s="5" t="n">
        <f aca="false">IFERROR((J1042-G1042)/G1042,"")</f>
        <v>-3.73848568357269E-005</v>
      </c>
      <c r="L1042" s="2" t="str">
        <f aca="false">IF(K1042="","",IF(ABS(K1042)&gt;0.05,"CHECK","OK"))</f>
        <v>OK</v>
      </c>
    </row>
    <row r="1043" customFormat="false" ht="15" hidden="false" customHeight="false" outlineLevel="0" collapsed="false">
      <c r="A1043" s="2" t="s">
        <v>27</v>
      </c>
      <c r="B1043" s="2" t="n">
        <v>1975</v>
      </c>
      <c r="C1043" s="2" t="s">
        <v>94</v>
      </c>
      <c r="D1043" s="3" t="n">
        <v>208197</v>
      </c>
      <c r="E1043" s="3" t="n">
        <v>252960</v>
      </c>
      <c r="F1043" s="2" t="s">
        <v>95</v>
      </c>
      <c r="G1043" s="3" t="n">
        <v>207</v>
      </c>
      <c r="H1043" s="2" t="s">
        <v>15</v>
      </c>
      <c r="I1043" s="2" t="n">
        <v>170</v>
      </c>
      <c r="J1043" s="4" t="n">
        <f aca="false">IFERROR(E1043*I1043/D1043,"")</f>
        <v>206.550526664649</v>
      </c>
      <c r="K1043" s="5" t="n">
        <f aca="false">IFERROR((J1043-G1043)/G1043,"")</f>
        <v>-0.00217136876980995</v>
      </c>
      <c r="L1043" s="2" t="str">
        <f aca="false">IF(K1043="","",IF(ABS(K1043)&gt;0.05,"CHECK","OK"))</f>
        <v>OK</v>
      </c>
    </row>
    <row r="1044" customFormat="false" ht="15" hidden="false" customHeight="false" outlineLevel="0" collapsed="false">
      <c r="A1044" s="2" t="s">
        <v>28</v>
      </c>
      <c r="B1044" s="2" t="n">
        <v>1976</v>
      </c>
      <c r="C1044" s="2" t="s">
        <v>92</v>
      </c>
      <c r="D1044" s="3" t="n">
        <v>154469</v>
      </c>
      <c r="E1044" s="3" t="n">
        <v>1636030</v>
      </c>
      <c r="F1044" s="2" t="s">
        <v>93</v>
      </c>
      <c r="G1044" s="3" t="n">
        <v>10591</v>
      </c>
      <c r="H1044" s="2" t="s">
        <v>15</v>
      </c>
      <c r="I1044" s="2" t="n">
        <v>1000</v>
      </c>
      <c r="J1044" s="4" t="n">
        <f aca="false">IFERROR(E1044*I1044/D1044,"")</f>
        <v>10591.3160569435</v>
      </c>
      <c r="K1044" s="5" t="n">
        <f aca="false">IFERROR((J1044-G1044)/G1044,"")</f>
        <v>2.98420303525627E-005</v>
      </c>
      <c r="L1044" s="2" t="str">
        <f aca="false">IF(K1044="","",IF(ABS(K1044)&gt;0.05,"CHECK","OK"))</f>
        <v>OK</v>
      </c>
    </row>
    <row r="1045" customFormat="false" ht="15" hidden="false" customHeight="false" outlineLevel="0" collapsed="false">
      <c r="A1045" s="2" t="s">
        <v>28</v>
      </c>
      <c r="B1045" s="2" t="n">
        <v>1976</v>
      </c>
      <c r="C1045" s="2" t="s">
        <v>94</v>
      </c>
      <c r="D1045" s="3" t="n">
        <v>239818</v>
      </c>
      <c r="E1045" s="3" t="n">
        <v>347470</v>
      </c>
      <c r="F1045" s="2" t="s">
        <v>95</v>
      </c>
      <c r="G1045" s="3" t="n">
        <v>246</v>
      </c>
      <c r="H1045" s="2" t="s">
        <v>15</v>
      </c>
      <c r="I1045" s="2" t="n">
        <v>170</v>
      </c>
      <c r="J1045" s="4" t="n">
        <f aca="false">IFERROR(E1045*I1045/D1045,"")</f>
        <v>246.31136945517</v>
      </c>
      <c r="K1045" s="5" t="n">
        <f aca="false">IFERROR((J1045-G1045)/G1045,"")</f>
        <v>0.00126572949256165</v>
      </c>
      <c r="L1045" s="2" t="str">
        <f aca="false">IF(K1045="","",IF(ABS(K1045)&gt;0.05,"CHECK","OK"))</f>
        <v>OK</v>
      </c>
    </row>
    <row r="1046" customFormat="false" ht="15" hidden="false" customHeight="false" outlineLevel="0" collapsed="false">
      <c r="A1046" s="2" t="s">
        <v>29</v>
      </c>
      <c r="B1046" s="2" t="n">
        <v>1977</v>
      </c>
      <c r="C1046" s="2" t="s">
        <v>92</v>
      </c>
      <c r="D1046" s="3" t="n">
        <v>167380</v>
      </c>
      <c r="E1046" s="3" t="n">
        <v>1651490</v>
      </c>
      <c r="F1046" s="2" t="s">
        <v>93</v>
      </c>
      <c r="G1046" s="3" t="n">
        <v>9866</v>
      </c>
      <c r="H1046" s="2" t="s">
        <v>15</v>
      </c>
      <c r="I1046" s="2" t="n">
        <v>1000</v>
      </c>
      <c r="J1046" s="4" t="n">
        <f aca="false">IFERROR(E1046*I1046/D1046,"")</f>
        <v>9866.71047914924</v>
      </c>
      <c r="K1046" s="5" t="n">
        <f aca="false">IFERROR((J1046-G1046)/G1046,"")</f>
        <v>7.2012887618287E-005</v>
      </c>
      <c r="L1046" s="2" t="str">
        <f aca="false">IF(K1046="","",IF(ABS(K1046)&gt;0.05,"CHECK","OK"))</f>
        <v>OK</v>
      </c>
    </row>
    <row r="1047" customFormat="false" ht="15" hidden="false" customHeight="false" outlineLevel="0" collapsed="false">
      <c r="A1047" s="2" t="s">
        <v>29</v>
      </c>
      <c r="B1047" s="2" t="n">
        <v>1977</v>
      </c>
      <c r="C1047" s="2" t="s">
        <v>94</v>
      </c>
      <c r="D1047" s="3" t="n">
        <v>324530</v>
      </c>
      <c r="E1047" s="3" t="n">
        <v>538050</v>
      </c>
      <c r="F1047" s="2" t="s">
        <v>95</v>
      </c>
      <c r="G1047" s="3" t="n">
        <v>282</v>
      </c>
      <c r="H1047" s="2" t="s">
        <v>15</v>
      </c>
      <c r="I1047" s="2" t="n">
        <v>170</v>
      </c>
      <c r="J1047" s="4" t="n">
        <f aca="false">IFERROR(E1047*I1047/D1047,"")</f>
        <v>281.849135673127</v>
      </c>
      <c r="K1047" s="5" t="n">
        <f aca="false">IFERROR((J1047-G1047)/G1047,"")</f>
        <v>-0.000534979882527279</v>
      </c>
      <c r="L1047" s="2" t="str">
        <f aca="false">IF(K1047="","",IF(ABS(K1047)&gt;0.05,"CHECK","OK"))</f>
        <v>OK</v>
      </c>
    </row>
    <row r="1048" customFormat="false" ht="15" hidden="false" customHeight="false" outlineLevel="0" collapsed="false">
      <c r="A1048" s="2" t="s">
        <v>30</v>
      </c>
      <c r="B1048" s="2" t="n">
        <v>1978</v>
      </c>
      <c r="C1048" s="2" t="s">
        <v>92</v>
      </c>
      <c r="D1048" s="3" t="n">
        <v>154423</v>
      </c>
      <c r="E1048" s="3" t="n">
        <v>1860850</v>
      </c>
      <c r="F1048" s="2" t="s">
        <v>93</v>
      </c>
      <c r="G1048" s="3" t="n">
        <v>12050</v>
      </c>
      <c r="H1048" s="2" t="s">
        <v>15</v>
      </c>
      <c r="I1048" s="2" t="n">
        <v>1000</v>
      </c>
      <c r="J1048" s="4" t="n">
        <f aca="false">IFERROR(E1048*I1048/D1048,"")</f>
        <v>12050.3422417645</v>
      </c>
      <c r="K1048" s="5" t="n">
        <f aca="false">IFERROR((J1048-G1048)/G1048,"")</f>
        <v>2.840180618285E-005</v>
      </c>
      <c r="L1048" s="2" t="str">
        <f aca="false">IF(K1048="","",IF(ABS(K1048)&gt;0.05,"CHECK","OK"))</f>
        <v>OK</v>
      </c>
    </row>
    <row r="1049" customFormat="false" ht="15" hidden="false" customHeight="false" outlineLevel="0" collapsed="false">
      <c r="A1049" s="2" t="s">
        <v>30</v>
      </c>
      <c r="B1049" s="2" t="n">
        <v>1978</v>
      </c>
      <c r="C1049" s="2" t="s">
        <v>94</v>
      </c>
      <c r="D1049" s="3" t="n">
        <v>347197</v>
      </c>
      <c r="E1049" s="3" t="n">
        <v>568480</v>
      </c>
      <c r="F1049" s="2" t="s">
        <v>95</v>
      </c>
      <c r="G1049" s="3" t="n">
        <v>278</v>
      </c>
      <c r="H1049" s="2" t="s">
        <v>15</v>
      </c>
      <c r="I1049" s="2" t="n">
        <v>170</v>
      </c>
      <c r="J1049" s="4" t="n">
        <f aca="false">IFERROR(E1049*I1049/D1049,"")</f>
        <v>278.348027200696</v>
      </c>
      <c r="K1049" s="5" t="n">
        <f aca="false">IFERROR((J1049-G1049)/G1049,"")</f>
        <v>0.00125189640538082</v>
      </c>
      <c r="L1049" s="2" t="str">
        <f aca="false">IF(K1049="","",IF(ABS(K1049)&gt;0.05,"CHECK","OK"))</f>
        <v>OK</v>
      </c>
    </row>
    <row r="1050" customFormat="false" ht="15" hidden="false" customHeight="false" outlineLevel="0" collapsed="false">
      <c r="A1050" s="2" t="s">
        <v>31</v>
      </c>
      <c r="B1050" s="2" t="n">
        <v>1979</v>
      </c>
      <c r="C1050" s="2" t="s">
        <v>92</v>
      </c>
      <c r="D1050" s="3" t="n">
        <v>149377</v>
      </c>
      <c r="E1050" s="3" t="n">
        <v>1540910</v>
      </c>
      <c r="F1050" s="2" t="s">
        <v>93</v>
      </c>
      <c r="G1050" s="3" t="n">
        <v>10316</v>
      </c>
      <c r="H1050" s="2" t="s">
        <v>15</v>
      </c>
      <c r="I1050" s="2" t="n">
        <v>1000</v>
      </c>
      <c r="J1050" s="4" t="n">
        <f aca="false">IFERROR(E1050*I1050/D1050,"")</f>
        <v>10315.5773646545</v>
      </c>
      <c r="K1050" s="5" t="n">
        <f aca="false">IFERROR((J1050-G1050)/G1050,"")</f>
        <v>-4.09689167767288E-005</v>
      </c>
      <c r="L1050" s="2" t="str">
        <f aca="false">IF(K1050="","",IF(ABS(K1050)&gt;0.05,"CHECK","OK"))</f>
        <v>OK</v>
      </c>
    </row>
    <row r="1051" customFormat="false" ht="15" hidden="false" customHeight="false" outlineLevel="0" collapsed="false">
      <c r="A1051" s="2" t="s">
        <v>31</v>
      </c>
      <c r="B1051" s="2" t="n">
        <v>1979</v>
      </c>
      <c r="C1051" s="2" t="s">
        <v>94</v>
      </c>
      <c r="D1051" s="3" t="n">
        <v>280304</v>
      </c>
      <c r="E1051" s="3" t="n">
        <v>386500</v>
      </c>
      <c r="F1051" s="2" t="s">
        <v>95</v>
      </c>
      <c r="G1051" s="3" t="n">
        <v>234</v>
      </c>
      <c r="H1051" s="2" t="s">
        <v>15</v>
      </c>
      <c r="I1051" s="2" t="n">
        <v>170</v>
      </c>
      <c r="J1051" s="4" t="n">
        <f aca="false">IFERROR(E1051*I1051/D1051,"")</f>
        <v>234.406216108225</v>
      </c>
      <c r="K1051" s="5" t="n">
        <f aca="false">IFERROR((J1051-G1051)/G1051,"")</f>
        <v>0.00173596627446731</v>
      </c>
      <c r="L1051" s="2" t="str">
        <f aca="false">IF(K1051="","",IF(ABS(K1051)&gt;0.05,"CHECK","OK"))</f>
        <v>OK</v>
      </c>
    </row>
    <row r="1052" customFormat="false" ht="15" hidden="false" customHeight="false" outlineLevel="0" collapsed="false">
      <c r="A1052" s="2" t="s">
        <v>32</v>
      </c>
      <c r="B1052" s="2" t="n">
        <v>1980</v>
      </c>
      <c r="C1052" s="2" t="s">
        <v>92</v>
      </c>
      <c r="D1052" s="3" t="n">
        <v>183083</v>
      </c>
      <c r="E1052" s="3" t="n">
        <v>1928040</v>
      </c>
      <c r="F1052" s="2" t="s">
        <v>93</v>
      </c>
      <c r="G1052" s="3" t="n">
        <v>10531</v>
      </c>
      <c r="H1052" s="2" t="s">
        <v>15</v>
      </c>
      <c r="I1052" s="2" t="n">
        <v>1000</v>
      </c>
      <c r="J1052" s="4" t="n">
        <f aca="false">IFERROR(E1052*I1052/D1052,"")</f>
        <v>10530.9613672487</v>
      </c>
      <c r="K1052" s="5" t="n">
        <f aca="false">IFERROR((J1052-G1052)/G1052,"")</f>
        <v>-3.66847889716551E-006</v>
      </c>
      <c r="L1052" s="2" t="str">
        <f aca="false">IF(K1052="","",IF(ABS(K1052)&gt;0.05,"CHECK","OK"))</f>
        <v>OK</v>
      </c>
    </row>
    <row r="1053" customFormat="false" ht="15" hidden="false" customHeight="false" outlineLevel="0" collapsed="false">
      <c r="A1053" s="2" t="s">
        <v>32</v>
      </c>
      <c r="B1053" s="2" t="n">
        <v>1980</v>
      </c>
      <c r="C1053" s="2" t="s">
        <v>94</v>
      </c>
      <c r="D1053" s="3" t="n">
        <v>220524</v>
      </c>
      <c r="E1053" s="3" t="n">
        <v>260240</v>
      </c>
      <c r="F1053" s="2" t="s">
        <v>95</v>
      </c>
      <c r="G1053" s="3" t="n">
        <v>201</v>
      </c>
      <c r="H1053" s="2" t="s">
        <v>15</v>
      </c>
      <c r="I1053" s="2" t="n">
        <v>170</v>
      </c>
      <c r="J1053" s="4" t="n">
        <f aca="false">IFERROR(E1053*I1053/D1053,"")</f>
        <v>200.616712920136</v>
      </c>
      <c r="K1053" s="5" t="n">
        <f aca="false">IFERROR((J1053-G1053)/G1053,"")</f>
        <v>-0.00190690089484735</v>
      </c>
      <c r="L1053" s="2" t="str">
        <f aca="false">IF(K1053="","",IF(ABS(K1053)&gt;0.05,"CHECK","OK"))</f>
        <v>OK</v>
      </c>
    </row>
    <row r="1054" customFormat="false" ht="15" hidden="false" customHeight="false" outlineLevel="0" collapsed="false">
      <c r="A1054" s="2" t="s">
        <v>33</v>
      </c>
      <c r="B1054" s="2" t="n">
        <v>1981</v>
      </c>
      <c r="C1054" s="2" t="s">
        <v>92</v>
      </c>
      <c r="D1054" s="3" t="n">
        <v>206895</v>
      </c>
      <c r="E1054" s="3" t="n">
        <v>2110970</v>
      </c>
      <c r="F1054" s="2" t="s">
        <v>93</v>
      </c>
      <c r="G1054" s="3" t="n">
        <v>10203</v>
      </c>
      <c r="H1054" s="2" t="s">
        <v>15</v>
      </c>
      <c r="I1054" s="2" t="n">
        <v>1000</v>
      </c>
      <c r="J1054" s="4" t="n">
        <f aca="false">IFERROR(E1054*I1054/D1054,"")</f>
        <v>10203.0981899031</v>
      </c>
      <c r="K1054" s="5" t="n">
        <f aca="false">IFERROR((J1054-G1054)/G1054,"")</f>
        <v>9.62363060769529E-006</v>
      </c>
      <c r="L1054" s="2" t="str">
        <f aca="false">IF(K1054="","",IF(ABS(K1054)&gt;0.05,"CHECK","OK"))</f>
        <v>OK</v>
      </c>
    </row>
    <row r="1055" customFormat="false" ht="15" hidden="false" customHeight="false" outlineLevel="0" collapsed="false">
      <c r="A1055" s="2" t="s">
        <v>33</v>
      </c>
      <c r="B1055" s="2" t="n">
        <v>1981</v>
      </c>
      <c r="C1055" s="2" t="s">
        <v>94</v>
      </c>
      <c r="D1055" s="3" t="n">
        <v>215943</v>
      </c>
      <c r="E1055" s="3" t="n">
        <v>260870</v>
      </c>
      <c r="F1055" s="2" t="s">
        <v>95</v>
      </c>
      <c r="G1055" s="3" t="n">
        <v>205</v>
      </c>
      <c r="H1055" s="2" t="s">
        <v>15</v>
      </c>
      <c r="I1055" s="2" t="n">
        <v>170</v>
      </c>
      <c r="J1055" s="4" t="n">
        <f aca="false">IFERROR(E1055*I1055/D1055,"")</f>
        <v>205.368546329355</v>
      </c>
      <c r="K1055" s="5" t="n">
        <f aca="false">IFERROR((J1055-G1055)/G1055,"")</f>
        <v>0.00179778697246556</v>
      </c>
      <c r="L1055" s="2" t="str">
        <f aca="false">IF(K1055="","",IF(ABS(K1055)&gt;0.05,"CHECK","OK"))</f>
        <v>OK</v>
      </c>
    </row>
    <row r="1056" customFormat="false" ht="15" hidden="false" customHeight="false" outlineLevel="0" collapsed="false">
      <c r="A1056" s="2" t="s">
        <v>34</v>
      </c>
      <c r="B1056" s="2" t="n">
        <v>1982</v>
      </c>
      <c r="C1056" s="2" t="s">
        <v>92</v>
      </c>
      <c r="D1056" s="3" t="n">
        <v>184828</v>
      </c>
      <c r="E1056" s="3" t="n">
        <v>1620300</v>
      </c>
      <c r="F1056" s="2" t="s">
        <v>93</v>
      </c>
      <c r="G1056" s="3" t="n">
        <v>8766</v>
      </c>
      <c r="H1056" s="2" t="s">
        <v>15</v>
      </c>
      <c r="I1056" s="2" t="n">
        <v>1000</v>
      </c>
      <c r="J1056" s="4" t="n">
        <f aca="false">IFERROR(E1056*I1056/D1056,"")</f>
        <v>8766.52888090549</v>
      </c>
      <c r="K1056" s="5" t="n">
        <f aca="false">IFERROR((J1056-G1056)/G1056,"")</f>
        <v>6.03332084748974E-005</v>
      </c>
      <c r="L1056" s="2" t="str">
        <f aca="false">IF(K1056="","",IF(ABS(K1056)&gt;0.05,"CHECK","OK"))</f>
        <v>OK</v>
      </c>
    </row>
    <row r="1057" customFormat="false" ht="15" hidden="false" customHeight="false" outlineLevel="0" collapsed="false">
      <c r="A1057" s="2" t="s">
        <v>34</v>
      </c>
      <c r="B1057" s="2" t="n">
        <v>1982</v>
      </c>
      <c r="C1057" s="2" t="s">
        <v>94</v>
      </c>
      <c r="D1057" s="3" t="n">
        <v>185191</v>
      </c>
      <c r="E1057" s="3" t="n">
        <v>220630</v>
      </c>
      <c r="F1057" s="2" t="s">
        <v>95</v>
      </c>
      <c r="G1057" s="3" t="n">
        <v>203</v>
      </c>
      <c r="H1057" s="2" t="s">
        <v>15</v>
      </c>
      <c r="I1057" s="2" t="n">
        <v>170</v>
      </c>
      <c r="J1057" s="4" t="n">
        <f aca="false">IFERROR(E1057*I1057/D1057,"")</f>
        <v>202.531980495812</v>
      </c>
      <c r="K1057" s="5" t="n">
        <f aca="false">IFERROR((J1057-G1057)/G1057,"")</f>
        <v>-0.00230551479895353</v>
      </c>
      <c r="L1057" s="2" t="str">
        <f aca="false">IF(K1057="","",IF(ABS(K1057)&gt;0.05,"CHECK","OK"))</f>
        <v>OK</v>
      </c>
    </row>
    <row r="1058" customFormat="false" ht="15" hidden="false" customHeight="false" outlineLevel="0" collapsed="false">
      <c r="A1058" s="2" t="s">
        <v>35</v>
      </c>
      <c r="B1058" s="2" t="n">
        <v>1983</v>
      </c>
      <c r="C1058" s="2" t="s">
        <v>92</v>
      </c>
      <c r="D1058" s="3" t="n">
        <v>156316</v>
      </c>
      <c r="E1058" s="3" t="n">
        <v>1324350</v>
      </c>
      <c r="F1058" s="2" t="s">
        <v>93</v>
      </c>
      <c r="G1058" s="3" t="n">
        <v>8472</v>
      </c>
      <c r="H1058" s="2" t="s">
        <v>15</v>
      </c>
      <c r="I1058" s="2" t="n">
        <v>1000</v>
      </c>
      <c r="J1058" s="4" t="n">
        <f aca="false">IFERROR(E1058*I1058/D1058,"")</f>
        <v>8472.26131681978</v>
      </c>
      <c r="K1058" s="5" t="n">
        <f aca="false">IFERROR((J1058-G1058)/G1058,"")</f>
        <v>3.08447615409522E-005</v>
      </c>
      <c r="L1058" s="2" t="str">
        <f aca="false">IF(K1058="","",IF(ABS(K1058)&gt;0.05,"CHECK","OK"))</f>
        <v>OK</v>
      </c>
    </row>
    <row r="1059" customFormat="false" ht="15" hidden="false" customHeight="false" outlineLevel="0" collapsed="false">
      <c r="A1059" s="2" t="s">
        <v>35</v>
      </c>
      <c r="B1059" s="2" t="n">
        <v>1983</v>
      </c>
      <c r="C1059" s="2" t="s">
        <v>94</v>
      </c>
      <c r="D1059" s="3" t="n">
        <v>185992</v>
      </c>
      <c r="E1059" s="3" t="n">
        <v>288630</v>
      </c>
      <c r="F1059" s="2" t="s">
        <v>95</v>
      </c>
      <c r="G1059" s="3" t="n">
        <v>264</v>
      </c>
      <c r="H1059" s="2" t="s">
        <v>15</v>
      </c>
      <c r="I1059" s="2" t="n">
        <v>170</v>
      </c>
      <c r="J1059" s="4" t="n">
        <f aca="false">IFERROR(E1059*I1059/D1059,"")</f>
        <v>263.812959697191</v>
      </c>
      <c r="K1059" s="5" t="n">
        <f aca="false">IFERROR((J1059-G1059)/G1059,"")</f>
        <v>-0.000708485995487596</v>
      </c>
      <c r="L1059" s="2" t="str">
        <f aca="false">IF(K1059="","",IF(ABS(K1059)&gt;0.05,"CHECK","OK"))</f>
        <v>OK</v>
      </c>
    </row>
    <row r="1060" customFormat="false" ht="15" hidden="false" customHeight="false" outlineLevel="0" collapsed="false">
      <c r="A1060" s="2" t="s">
        <v>36</v>
      </c>
      <c r="B1060" s="2" t="n">
        <v>1984</v>
      </c>
      <c r="C1060" s="2" t="s">
        <v>92</v>
      </c>
      <c r="D1060" s="3" t="n">
        <v>169468</v>
      </c>
      <c r="E1060" s="3" t="n">
        <v>1613940</v>
      </c>
      <c r="F1060" s="2" t="s">
        <v>93</v>
      </c>
      <c r="G1060" s="3" t="n">
        <v>9524</v>
      </c>
      <c r="H1060" s="2" t="s">
        <v>15</v>
      </c>
      <c r="I1060" s="2" t="n">
        <v>1000</v>
      </c>
      <c r="J1060" s="4" t="n">
        <f aca="false">IFERROR(E1060*I1060/D1060,"")</f>
        <v>9523.56787122053</v>
      </c>
      <c r="K1060" s="5" t="n">
        <f aca="false">IFERROR((J1060-G1060)/G1060,"")</f>
        <v>-4.53726143924522E-005</v>
      </c>
      <c r="L1060" s="2" t="str">
        <f aca="false">IF(K1060="","",IF(ABS(K1060)&gt;0.05,"CHECK","OK"))</f>
        <v>OK</v>
      </c>
    </row>
    <row r="1061" customFormat="false" ht="15" hidden="false" customHeight="false" outlineLevel="0" collapsed="false">
      <c r="A1061" s="2" t="s">
        <v>36</v>
      </c>
      <c r="B1061" s="2" t="n">
        <v>1984</v>
      </c>
      <c r="C1061" s="2" t="s">
        <v>94</v>
      </c>
      <c r="D1061" s="3" t="n">
        <v>253228</v>
      </c>
      <c r="E1061" s="3" t="n">
        <v>585000</v>
      </c>
      <c r="F1061" s="2" t="s">
        <v>95</v>
      </c>
      <c r="G1061" s="3" t="n">
        <v>393</v>
      </c>
      <c r="H1061" s="2" t="s">
        <v>15</v>
      </c>
      <c r="I1061" s="2" t="n">
        <v>170</v>
      </c>
      <c r="J1061" s="4" t="n">
        <f aca="false">IFERROR(E1061*I1061/D1061,"")</f>
        <v>392.729082092028</v>
      </c>
      <c r="K1061" s="5" t="n">
        <f aca="false">IFERROR((J1061-G1061)/G1061,"")</f>
        <v>-0.000689358544458681</v>
      </c>
      <c r="L1061" s="2" t="str">
        <f aca="false">IF(K1061="","",IF(ABS(K1061)&gt;0.05,"CHECK","OK"))</f>
        <v>OK</v>
      </c>
    </row>
    <row r="1062" customFormat="false" ht="15" hidden="false" customHeight="false" outlineLevel="0" collapsed="false">
      <c r="A1062" s="2" t="s">
        <v>37</v>
      </c>
      <c r="B1062" s="2" t="n">
        <v>1985</v>
      </c>
      <c r="C1062" s="2" t="s">
        <v>92</v>
      </c>
      <c r="D1062" s="3" t="n">
        <v>191071</v>
      </c>
      <c r="E1062" s="3" t="n">
        <v>2068390</v>
      </c>
      <c r="F1062" s="2" t="s">
        <v>93</v>
      </c>
      <c r="G1062" s="3" t="n">
        <v>10825</v>
      </c>
      <c r="H1062" s="2" t="s">
        <v>15</v>
      </c>
      <c r="I1062" s="2" t="n">
        <v>1000</v>
      </c>
      <c r="J1062" s="4" t="n">
        <f aca="false">IFERROR(E1062*I1062/D1062,"")</f>
        <v>10825.2429725076</v>
      </c>
      <c r="K1062" s="5" t="n">
        <f aca="false">IFERROR((J1062-G1062)/G1062,"")</f>
        <v>2.24454972380356E-005</v>
      </c>
      <c r="L1062" s="2" t="str">
        <f aca="false">IF(K1062="","",IF(ABS(K1062)&gt;0.05,"CHECK","OK"))</f>
        <v>OK</v>
      </c>
    </row>
    <row r="1063" customFormat="false" ht="15" hidden="false" customHeight="false" outlineLevel="0" collapsed="false">
      <c r="A1063" s="2" t="s">
        <v>37</v>
      </c>
      <c r="B1063" s="2" t="n">
        <v>1985</v>
      </c>
      <c r="C1063" s="2" t="s">
        <v>94</v>
      </c>
      <c r="D1063" s="3" t="n">
        <v>254345</v>
      </c>
      <c r="E1063" s="3" t="n">
        <v>484710</v>
      </c>
      <c r="F1063" s="2" t="s">
        <v>95</v>
      </c>
      <c r="G1063" s="3" t="n">
        <v>324</v>
      </c>
      <c r="H1063" s="2" t="s">
        <v>15</v>
      </c>
      <c r="I1063" s="2" t="n">
        <v>170</v>
      </c>
      <c r="J1063" s="4" t="n">
        <f aca="false">IFERROR(E1063*I1063/D1063,"")</f>
        <v>323.972163793273</v>
      </c>
      <c r="K1063" s="5" t="n">
        <f aca="false">IFERROR((J1063-G1063)/G1063,"")</f>
        <v>-8.59142182935242E-005</v>
      </c>
      <c r="L1063" s="2" t="str">
        <f aca="false">IF(K1063="","",IF(ABS(K1063)&gt;0.05,"CHECK","OK"))</f>
        <v>OK</v>
      </c>
    </row>
    <row r="1064" customFormat="false" ht="15" hidden="false" customHeight="false" outlineLevel="0" collapsed="false">
      <c r="A1064" s="2" t="s">
        <v>38</v>
      </c>
      <c r="B1064" s="2" t="n">
        <v>1986</v>
      </c>
      <c r="C1064" s="2" t="s">
        <v>92</v>
      </c>
      <c r="D1064" s="3" t="n">
        <v>196425</v>
      </c>
      <c r="E1064" s="3" t="n">
        <v>2136940</v>
      </c>
      <c r="F1064" s="2" t="s">
        <v>93</v>
      </c>
      <c r="G1064" s="3" t="n">
        <v>10879</v>
      </c>
      <c r="H1064" s="2" t="s">
        <v>15</v>
      </c>
      <c r="I1064" s="2" t="n">
        <v>1000</v>
      </c>
      <c r="J1064" s="4" t="n">
        <f aca="false">IFERROR(E1064*I1064/D1064,"")</f>
        <v>10879.1650757287</v>
      </c>
      <c r="K1064" s="5" t="n">
        <f aca="false">IFERROR((J1064-G1064)/G1064,"")</f>
        <v>1.51737961806925E-005</v>
      </c>
      <c r="L1064" s="2" t="str">
        <f aca="false">IF(K1064="","",IF(ABS(K1064)&gt;0.05,"CHECK","OK"))</f>
        <v>OK</v>
      </c>
    </row>
    <row r="1065" customFormat="false" ht="15" hidden="false" customHeight="false" outlineLevel="0" collapsed="false">
      <c r="A1065" s="2" t="s">
        <v>38</v>
      </c>
      <c r="B1065" s="2" t="n">
        <v>1986</v>
      </c>
      <c r="C1065" s="2" t="s">
        <v>94</v>
      </c>
      <c r="D1065" s="3" t="n">
        <v>185736</v>
      </c>
      <c r="E1065" s="3" t="n">
        <v>277850</v>
      </c>
      <c r="F1065" s="2" t="s">
        <v>95</v>
      </c>
      <c r="G1065" s="3" t="n">
        <v>254</v>
      </c>
      <c r="H1065" s="2" t="s">
        <v>15</v>
      </c>
      <c r="I1065" s="2" t="n">
        <v>170</v>
      </c>
      <c r="J1065" s="4" t="n">
        <f aca="false">IFERROR(E1065*I1065/D1065,"")</f>
        <v>254.309880690873</v>
      </c>
      <c r="K1065" s="5" t="n">
        <f aca="false">IFERROR((J1065-G1065)/G1065,"")</f>
        <v>0.00122000271997267</v>
      </c>
      <c r="L1065" s="2" t="str">
        <f aca="false">IF(K1065="","",IF(ABS(K1065)&gt;0.05,"CHECK","OK"))</f>
        <v>OK</v>
      </c>
    </row>
    <row r="1066" customFormat="false" ht="15" hidden="false" customHeight="false" outlineLevel="0" collapsed="false">
      <c r="A1066" s="2" t="s">
        <v>39</v>
      </c>
      <c r="B1066" s="2" t="n">
        <v>1987</v>
      </c>
      <c r="C1066" s="2" t="s">
        <v>92</v>
      </c>
      <c r="D1066" s="3" t="n">
        <v>194523</v>
      </c>
      <c r="E1066" s="3" t="n">
        <v>2004080</v>
      </c>
      <c r="F1066" s="2" t="s">
        <v>93</v>
      </c>
      <c r="G1066" s="3" t="n">
        <v>10303</v>
      </c>
      <c r="H1066" s="2" t="s">
        <v>15</v>
      </c>
      <c r="I1066" s="2" t="n">
        <v>1000</v>
      </c>
      <c r="J1066" s="4" t="n">
        <f aca="false">IFERROR(E1066*I1066/D1066,"")</f>
        <v>10302.53491875</v>
      </c>
      <c r="K1066" s="5" t="n">
        <f aca="false">IFERROR((J1066-G1066)/G1066,"")</f>
        <v>-4.51403717394244E-005</v>
      </c>
      <c r="L1066" s="2" t="str">
        <f aca="false">IF(K1066="","",IF(ABS(K1066)&gt;0.05,"CHECK","OK"))</f>
        <v>OK</v>
      </c>
    </row>
    <row r="1067" customFormat="false" ht="15" hidden="false" customHeight="false" outlineLevel="0" collapsed="false">
      <c r="A1067" s="2" t="s">
        <v>39</v>
      </c>
      <c r="B1067" s="2" t="n">
        <v>1987</v>
      </c>
      <c r="C1067" s="2" t="s">
        <v>94</v>
      </c>
      <c r="D1067" s="3" t="n">
        <v>243711</v>
      </c>
      <c r="E1067" s="3" t="n">
        <v>436620</v>
      </c>
      <c r="F1067" s="2" t="s">
        <v>95</v>
      </c>
      <c r="G1067" s="3" t="n">
        <v>305</v>
      </c>
      <c r="H1067" s="2" t="s">
        <v>15</v>
      </c>
      <c r="I1067" s="2" t="n">
        <v>170</v>
      </c>
      <c r="J1067" s="4" t="n">
        <f aca="false">IFERROR(E1067*I1067/D1067,"")</f>
        <v>304.563191649125</v>
      </c>
      <c r="K1067" s="5" t="n">
        <f aca="false">IFERROR((J1067-G1067)/G1067,"")</f>
        <v>-0.0014321585274578</v>
      </c>
      <c r="L1067" s="2" t="str">
        <f aca="false">IF(K1067="","",IF(ABS(K1067)&gt;0.05,"CHECK","OK"))</f>
        <v>OK</v>
      </c>
    </row>
    <row r="1068" customFormat="false" ht="15" hidden="false" customHeight="false" outlineLevel="0" collapsed="false">
      <c r="A1068" s="2" t="s">
        <v>40</v>
      </c>
      <c r="B1068" s="2" t="n">
        <v>1988</v>
      </c>
      <c r="C1068" s="2" t="s">
        <v>92</v>
      </c>
      <c r="D1068" s="3" t="n">
        <v>216702</v>
      </c>
      <c r="E1068" s="3" t="n">
        <v>2425600</v>
      </c>
      <c r="F1068" s="2" t="s">
        <v>93</v>
      </c>
      <c r="G1068" s="3" t="n">
        <v>11193</v>
      </c>
      <c r="H1068" s="2" t="s">
        <v>15</v>
      </c>
      <c r="I1068" s="2" t="n">
        <v>1000</v>
      </c>
      <c r="J1068" s="4" t="n">
        <f aca="false">IFERROR(E1068*I1068/D1068,"")</f>
        <v>11193.251562053</v>
      </c>
      <c r="K1068" s="5" t="n">
        <f aca="false">IFERROR((J1068-G1068)/G1068,"")</f>
        <v>2.24749444257594E-005</v>
      </c>
      <c r="L1068" s="2" t="str">
        <f aca="false">IF(K1068="","",IF(ABS(K1068)&gt;0.05,"CHECK","OK"))</f>
        <v>OK</v>
      </c>
    </row>
    <row r="1069" customFormat="false" ht="15" hidden="false" customHeight="false" outlineLevel="0" collapsed="false">
      <c r="A1069" s="2" t="s">
        <v>40</v>
      </c>
      <c r="B1069" s="2" t="n">
        <v>1988</v>
      </c>
      <c r="C1069" s="2" t="s">
        <v>94</v>
      </c>
      <c r="D1069" s="3" t="n">
        <v>260651</v>
      </c>
      <c r="E1069" s="3" t="n">
        <v>401490</v>
      </c>
      <c r="F1069" s="2" t="s">
        <v>95</v>
      </c>
      <c r="G1069" s="3" t="n">
        <v>262</v>
      </c>
      <c r="H1069" s="2" t="s">
        <v>15</v>
      </c>
      <c r="I1069" s="2" t="n">
        <v>170</v>
      </c>
      <c r="J1069" s="4" t="n">
        <f aca="false">IFERROR(E1069*I1069/D1069,"")</f>
        <v>261.857042558824</v>
      </c>
      <c r="K1069" s="5" t="n">
        <f aca="false">IFERROR((J1069-G1069)/G1069,"")</f>
        <v>-0.000545639088458482</v>
      </c>
      <c r="L1069" s="2" t="str">
        <f aca="false">IF(K1069="","",IF(ABS(K1069)&gt;0.05,"CHECK","OK"))</f>
        <v>OK</v>
      </c>
    </row>
    <row r="1070" customFormat="false" ht="15" hidden="false" customHeight="false" outlineLevel="0" collapsed="false">
      <c r="A1070" s="2" t="s">
        <v>41</v>
      </c>
      <c r="B1070" s="2" t="n">
        <v>1989</v>
      </c>
      <c r="C1070" s="2" t="s">
        <v>92</v>
      </c>
      <c r="D1070" s="3" t="n">
        <v>222302</v>
      </c>
      <c r="E1070" s="3" t="n">
        <v>2506890</v>
      </c>
      <c r="F1070" s="2" t="s">
        <v>93</v>
      </c>
      <c r="G1070" s="3" t="n">
        <v>11277</v>
      </c>
      <c r="H1070" s="2" t="s">
        <v>15</v>
      </c>
      <c r="I1070" s="2" t="n">
        <v>1000</v>
      </c>
      <c r="J1070" s="4" t="n">
        <f aca="false">IFERROR(E1070*I1070/D1070,"")</f>
        <v>11276.9565725904</v>
      </c>
      <c r="K1070" s="5" t="n">
        <f aca="false">IFERROR((J1070-G1070)/G1070,"")</f>
        <v>-3.85097185071704E-006</v>
      </c>
      <c r="L1070" s="2" t="str">
        <f aca="false">IF(K1070="","",IF(ABS(K1070)&gt;0.05,"CHECK","OK"))</f>
        <v>OK</v>
      </c>
    </row>
    <row r="1071" customFormat="false" ht="15" hidden="false" customHeight="false" outlineLevel="0" collapsed="false">
      <c r="A1071" s="2" t="s">
        <v>41</v>
      </c>
      <c r="B1071" s="2" t="n">
        <v>1989</v>
      </c>
      <c r="C1071" s="2" t="s">
        <v>94</v>
      </c>
      <c r="D1071" s="3" t="n">
        <v>281000</v>
      </c>
      <c r="E1071" s="3" t="n">
        <v>507710</v>
      </c>
      <c r="F1071" s="2" t="s">
        <v>95</v>
      </c>
      <c r="G1071" s="3" t="n">
        <v>307</v>
      </c>
      <c r="H1071" s="2" t="s">
        <v>15</v>
      </c>
      <c r="I1071" s="2" t="n">
        <v>170</v>
      </c>
      <c r="J1071" s="4" t="n">
        <f aca="false">IFERROR(E1071*I1071/D1071,"")</f>
        <v>307.155516014235</v>
      </c>
      <c r="K1071" s="5" t="n">
        <f aca="false">IFERROR((J1071-G1071)/G1071,"")</f>
        <v>0.000506566821611977</v>
      </c>
      <c r="L1071" s="2" t="str">
        <f aca="false">IF(K1071="","",IF(ABS(K1071)&gt;0.05,"CHECK","OK"))</f>
        <v>OK</v>
      </c>
    </row>
    <row r="1072" customFormat="false" ht="15" hidden="false" customHeight="false" outlineLevel="0" collapsed="false">
      <c r="A1072" s="2" t="s">
        <v>42</v>
      </c>
      <c r="B1072" s="2" t="n">
        <v>1990</v>
      </c>
      <c r="C1072" s="2" t="s">
        <v>92</v>
      </c>
      <c r="D1072" s="3" t="n">
        <v>232928</v>
      </c>
      <c r="E1072" s="3" t="n">
        <v>2423120</v>
      </c>
      <c r="F1072" s="2" t="s">
        <v>93</v>
      </c>
      <c r="G1072" s="3" t="n">
        <v>10403</v>
      </c>
      <c r="H1072" s="2" t="s">
        <v>15</v>
      </c>
      <c r="I1072" s="2" t="n">
        <v>1000</v>
      </c>
      <c r="J1072" s="4" t="n">
        <f aca="false">IFERROR(E1072*I1072/D1072,"")</f>
        <v>10402.8712735266</v>
      </c>
      <c r="K1072" s="5" t="n">
        <f aca="false">IFERROR((J1072-G1072)/G1072,"")</f>
        <v>-1.23739761046298E-005</v>
      </c>
      <c r="L1072" s="2" t="str">
        <f aca="false">IF(K1072="","",IF(ABS(K1072)&gt;0.05,"CHECK","OK"))</f>
        <v>OK</v>
      </c>
    </row>
    <row r="1073" customFormat="false" ht="15" hidden="false" customHeight="false" outlineLevel="0" collapsed="false">
      <c r="A1073" s="2" t="s">
        <v>42</v>
      </c>
      <c r="B1073" s="2" t="n">
        <v>1990</v>
      </c>
      <c r="C1073" s="2" t="s">
        <v>94</v>
      </c>
      <c r="D1073" s="3" t="n">
        <v>239282</v>
      </c>
      <c r="E1073" s="3" t="n">
        <v>408710</v>
      </c>
      <c r="F1073" s="2" t="s">
        <v>95</v>
      </c>
      <c r="G1073" s="3" t="n">
        <v>290</v>
      </c>
      <c r="H1073" s="2" t="s">
        <v>15</v>
      </c>
      <c r="I1073" s="2" t="n">
        <v>170</v>
      </c>
      <c r="J1073" s="4" t="n">
        <f aca="false">IFERROR(E1073*I1073/D1073,"")</f>
        <v>290.371611738451</v>
      </c>
      <c r="K1073" s="5" t="n">
        <f aca="false">IFERROR((J1073-G1073)/G1073,"")</f>
        <v>0.00128141978776151</v>
      </c>
      <c r="L1073" s="2" t="str">
        <f aca="false">IF(K1073="","",IF(ABS(K1073)&gt;0.05,"CHECK","OK"))</f>
        <v>OK</v>
      </c>
    </row>
    <row r="1074" customFormat="false" ht="15" hidden="false" customHeight="false" outlineLevel="0" collapsed="false">
      <c r="A1074" s="2" t="s">
        <v>43</v>
      </c>
      <c r="B1074" s="2" t="n">
        <v>1991</v>
      </c>
      <c r="C1074" s="2" t="s">
        <v>92</v>
      </c>
      <c r="D1074" s="3" t="n">
        <v>237964</v>
      </c>
      <c r="E1074" s="3" t="n">
        <v>2710260</v>
      </c>
      <c r="F1074" s="2" t="s">
        <v>93</v>
      </c>
      <c r="G1074" s="3" t="n">
        <v>11389</v>
      </c>
      <c r="H1074" s="2" t="s">
        <v>15</v>
      </c>
      <c r="I1074" s="2" t="n">
        <v>1000</v>
      </c>
      <c r="J1074" s="4" t="n">
        <f aca="false">IFERROR(E1074*I1074/D1074,"")</f>
        <v>11389.3698206451</v>
      </c>
      <c r="K1074" s="5" t="n">
        <f aca="false">IFERROR((J1074-G1074)/G1074,"")</f>
        <v>3.24717398488931E-005</v>
      </c>
      <c r="L1074" s="2" t="str">
        <f aca="false">IF(K1074="","",IF(ABS(K1074)&gt;0.05,"CHECK","OK"))</f>
        <v>OK</v>
      </c>
    </row>
    <row r="1075" customFormat="false" ht="15" hidden="false" customHeight="false" outlineLevel="0" collapsed="false">
      <c r="A1075" s="2" t="s">
        <v>43</v>
      </c>
      <c r="B1075" s="2" t="n">
        <v>1991</v>
      </c>
      <c r="C1075" s="2" t="s">
        <v>94</v>
      </c>
      <c r="D1075" s="3" t="n">
        <v>258330</v>
      </c>
      <c r="E1075" s="3" t="n">
        <v>410230</v>
      </c>
      <c r="F1075" s="2" t="s">
        <v>95</v>
      </c>
      <c r="G1075" s="3" t="n">
        <v>270</v>
      </c>
      <c r="H1075" s="2" t="s">
        <v>15</v>
      </c>
      <c r="I1075" s="2" t="n">
        <v>170</v>
      </c>
      <c r="J1075" s="4" t="n">
        <f aca="false">IFERROR(E1075*I1075/D1075,"")</f>
        <v>269.961289823095</v>
      </c>
      <c r="K1075" s="5" t="n">
        <f aca="false">IFERROR((J1075-G1075)/G1075,"")</f>
        <v>-0.000143371025575966</v>
      </c>
      <c r="L1075" s="2" t="str">
        <f aca="false">IF(K1075="","",IF(ABS(K1075)&gt;0.05,"CHECK","OK"))</f>
        <v>OK</v>
      </c>
    </row>
    <row r="1076" customFormat="false" ht="15" hidden="false" customHeight="false" outlineLevel="0" collapsed="false">
      <c r="A1076" s="2" t="s">
        <v>44</v>
      </c>
      <c r="B1076" s="2" t="n">
        <v>1992</v>
      </c>
      <c r="C1076" s="2" t="s">
        <v>92</v>
      </c>
      <c r="D1076" s="3" t="n">
        <v>215628</v>
      </c>
      <c r="E1076" s="3" t="n">
        <v>2678340</v>
      </c>
      <c r="F1076" s="2" t="s">
        <v>93</v>
      </c>
      <c r="G1076" s="3" t="n">
        <v>12421</v>
      </c>
      <c r="H1076" s="2" t="s">
        <v>15</v>
      </c>
      <c r="I1076" s="2" t="n">
        <v>1000</v>
      </c>
      <c r="J1076" s="4" t="n">
        <f aca="false">IFERROR(E1076*I1076/D1076,"")</f>
        <v>12421.1141410206</v>
      </c>
      <c r="K1076" s="5" t="n">
        <f aca="false">IFERROR((J1076-G1076)/G1076,"")</f>
        <v>9.18935839685746E-006</v>
      </c>
      <c r="L1076" s="2" t="str">
        <f aca="false">IF(K1076="","",IF(ABS(K1076)&gt;0.05,"CHECK","OK"))</f>
        <v>OK</v>
      </c>
    </row>
    <row r="1077" customFormat="false" ht="15" hidden="false" customHeight="false" outlineLevel="0" collapsed="false">
      <c r="A1077" s="2" t="s">
        <v>44</v>
      </c>
      <c r="B1077" s="2" t="n">
        <v>1992</v>
      </c>
      <c r="C1077" s="2" t="s">
        <v>94</v>
      </c>
      <c r="D1077" s="3" t="n">
        <v>266973</v>
      </c>
      <c r="E1077" s="3" t="n">
        <v>453990</v>
      </c>
      <c r="F1077" s="2" t="s">
        <v>95</v>
      </c>
      <c r="G1077" s="3" t="n">
        <v>289</v>
      </c>
      <c r="H1077" s="2" t="s">
        <v>15</v>
      </c>
      <c r="I1077" s="2" t="n">
        <v>170</v>
      </c>
      <c r="J1077" s="4" t="n">
        <f aca="false">IFERROR(E1077*I1077/D1077,"")</f>
        <v>289.086536840804</v>
      </c>
      <c r="K1077" s="5" t="n">
        <f aca="false">IFERROR((J1077-G1077)/G1077,"")</f>
        <v>0.000299435435308356</v>
      </c>
      <c r="L1077" s="2" t="str">
        <f aca="false">IF(K1077="","",IF(ABS(K1077)&gt;0.05,"CHECK","OK"))</f>
        <v>OK</v>
      </c>
    </row>
    <row r="1078" customFormat="false" ht="15" hidden="false" customHeight="false" outlineLevel="0" collapsed="false">
      <c r="A1078" s="2" t="s">
        <v>45</v>
      </c>
      <c r="B1078" s="2" t="n">
        <v>1993</v>
      </c>
      <c r="C1078" s="2" t="s">
        <v>92</v>
      </c>
      <c r="D1078" s="3" t="n">
        <v>249376</v>
      </c>
      <c r="E1078" s="3" t="n">
        <v>2922180</v>
      </c>
      <c r="F1078" s="2" t="s">
        <v>93</v>
      </c>
      <c r="G1078" s="3" t="n">
        <v>11718</v>
      </c>
      <c r="H1078" s="2" t="s">
        <v>15</v>
      </c>
      <c r="I1078" s="2" t="n">
        <v>1000</v>
      </c>
      <c r="J1078" s="4" t="n">
        <f aca="false">IFERROR(E1078*I1078/D1078,"")</f>
        <v>11717.9680482484</v>
      </c>
      <c r="K1078" s="5" t="n">
        <f aca="false">IFERROR((J1078-G1078)/G1078,"")</f>
        <v>-2.72672397787214E-006</v>
      </c>
      <c r="L1078" s="2" t="str">
        <f aca="false">IF(K1078="","",IF(ABS(K1078)&gt;0.05,"CHECK","OK"))</f>
        <v>OK</v>
      </c>
    </row>
    <row r="1079" customFormat="false" ht="15" hidden="false" customHeight="false" outlineLevel="0" collapsed="false">
      <c r="A1079" s="2" t="s">
        <v>45</v>
      </c>
      <c r="B1079" s="2" t="n">
        <v>1993</v>
      </c>
      <c r="C1079" s="2" t="s">
        <v>94</v>
      </c>
      <c r="D1079" s="3" t="n">
        <v>229054</v>
      </c>
      <c r="E1079" s="3" t="n">
        <v>426210</v>
      </c>
      <c r="F1079" s="2" t="s">
        <v>95</v>
      </c>
      <c r="G1079" s="3" t="n">
        <v>316</v>
      </c>
      <c r="H1079" s="2" t="s">
        <v>15</v>
      </c>
      <c r="I1079" s="2" t="n">
        <v>170</v>
      </c>
      <c r="J1079" s="4" t="n">
        <f aca="false">IFERROR(E1079*I1079/D1079,"")</f>
        <v>316.325844560671</v>
      </c>
      <c r="K1079" s="5" t="n">
        <f aca="false">IFERROR((J1079-G1079)/G1079,"")</f>
        <v>0.00103115367301035</v>
      </c>
      <c r="L1079" s="2" t="str">
        <f aca="false">IF(K1079="","",IF(ABS(K1079)&gt;0.05,"CHECK","OK"))</f>
        <v>OK</v>
      </c>
    </row>
    <row r="1080" customFormat="false" ht="15" hidden="false" customHeight="false" outlineLevel="0" collapsed="false">
      <c r="A1080" s="2" t="s">
        <v>46</v>
      </c>
      <c r="B1080" s="2" t="n">
        <v>1994</v>
      </c>
      <c r="C1080" s="2" t="s">
        <v>92</v>
      </c>
      <c r="D1080" s="3" t="n">
        <v>327835</v>
      </c>
      <c r="E1080" s="3" t="n">
        <v>3898300</v>
      </c>
      <c r="F1080" s="2" t="s">
        <v>93</v>
      </c>
      <c r="G1080" s="3" t="n">
        <v>11891</v>
      </c>
      <c r="H1080" s="2" t="s">
        <v>15</v>
      </c>
      <c r="I1080" s="2" t="n">
        <v>1000</v>
      </c>
      <c r="J1080" s="4" t="n">
        <f aca="false">IFERROR(E1080*I1080/D1080,"")</f>
        <v>11891.042750164</v>
      </c>
      <c r="K1080" s="5" t="n">
        <f aca="false">IFERROR((J1080-G1080)/G1080,"")</f>
        <v>3.59516978850675E-006</v>
      </c>
      <c r="L1080" s="2" t="str">
        <f aca="false">IF(K1080="","",IF(ABS(K1080)&gt;0.05,"CHECK","OK"))</f>
        <v>OK</v>
      </c>
    </row>
    <row r="1081" customFormat="false" ht="15" hidden="false" customHeight="false" outlineLevel="0" collapsed="false">
      <c r="A1081" s="2" t="s">
        <v>46</v>
      </c>
      <c r="B1081" s="2" t="n">
        <v>1994</v>
      </c>
      <c r="C1081" s="2" t="s">
        <v>94</v>
      </c>
      <c r="D1081" s="3" t="n">
        <v>255253</v>
      </c>
      <c r="E1081" s="3" t="n">
        <v>440040</v>
      </c>
      <c r="F1081" s="2" t="s">
        <v>95</v>
      </c>
      <c r="G1081" s="3" t="n">
        <v>293</v>
      </c>
      <c r="H1081" s="2" t="s">
        <v>15</v>
      </c>
      <c r="I1081" s="2" t="n">
        <v>170</v>
      </c>
      <c r="J1081" s="4" t="n">
        <f aca="false">IFERROR(E1081*I1081/D1081,"")</f>
        <v>293.069229352838</v>
      </c>
      <c r="K1081" s="5" t="n">
        <f aca="false">IFERROR((J1081-G1081)/G1081,"")</f>
        <v>0.000236277654737858</v>
      </c>
      <c r="L1081" s="2" t="str">
        <f aca="false">IF(K1081="","",IF(ABS(K1081)&gt;0.05,"CHECK","OK"))</f>
        <v>OK</v>
      </c>
    </row>
    <row r="1082" customFormat="false" ht="15" hidden="false" customHeight="false" outlineLevel="0" collapsed="false">
      <c r="A1082" s="2" t="s">
        <v>47</v>
      </c>
      <c r="B1082" s="2" t="n">
        <v>1995</v>
      </c>
      <c r="C1082" s="2" t="s">
        <v>92</v>
      </c>
      <c r="D1082" s="3" t="n">
        <v>326245</v>
      </c>
      <c r="E1082" s="3" t="n">
        <v>3294420</v>
      </c>
      <c r="F1082" s="2" t="s">
        <v>93</v>
      </c>
      <c r="G1082" s="3" t="n">
        <v>10098</v>
      </c>
      <c r="H1082" s="2" t="s">
        <v>15</v>
      </c>
      <c r="I1082" s="2" t="n">
        <v>1000</v>
      </c>
      <c r="J1082" s="4" t="n">
        <f aca="false">IFERROR(E1082*I1082/D1082,"")</f>
        <v>10097.993838986</v>
      </c>
      <c r="K1082" s="5" t="n">
        <f aca="false">IFERROR((J1082-G1082)/G1082,"")</f>
        <v>-6.10122198643356E-007</v>
      </c>
      <c r="L1082" s="2" t="str">
        <f aca="false">IF(K1082="","",IF(ABS(K1082)&gt;0.05,"CHECK","OK"))</f>
        <v>OK</v>
      </c>
    </row>
    <row r="1083" customFormat="false" ht="15" hidden="false" customHeight="false" outlineLevel="0" collapsed="false">
      <c r="A1083" s="2" t="s">
        <v>47</v>
      </c>
      <c r="B1083" s="2" t="n">
        <v>1995</v>
      </c>
      <c r="C1083" s="2" t="s">
        <v>94</v>
      </c>
      <c r="D1083" s="3" t="n">
        <v>260841</v>
      </c>
      <c r="E1083" s="3" t="n">
        <v>339350</v>
      </c>
      <c r="F1083" s="2" t="s">
        <v>95</v>
      </c>
      <c r="G1083" s="3" t="n">
        <v>221</v>
      </c>
      <c r="H1083" s="2" t="s">
        <v>15</v>
      </c>
      <c r="I1083" s="2" t="n">
        <v>170</v>
      </c>
      <c r="J1083" s="4" t="n">
        <f aca="false">IFERROR(E1083*I1083/D1083,"")</f>
        <v>221.16730115281</v>
      </c>
      <c r="K1083" s="5" t="n">
        <f aca="false">IFERROR((J1083-G1083)/G1083,"")</f>
        <v>0.000757018790993471</v>
      </c>
      <c r="L1083" s="2" t="str">
        <f aca="false">IF(K1083="","",IF(ABS(K1083)&gt;0.05,"CHECK","OK"))</f>
        <v>OK</v>
      </c>
    </row>
    <row r="1084" customFormat="false" ht="15" hidden="false" customHeight="false" outlineLevel="0" collapsed="false">
      <c r="A1084" s="2" t="s">
        <v>48</v>
      </c>
      <c r="B1084" s="2" t="n">
        <v>1996</v>
      </c>
      <c r="C1084" s="2" t="s">
        <v>92</v>
      </c>
      <c r="D1084" s="3" t="n">
        <v>259554</v>
      </c>
      <c r="E1084" s="3" t="n">
        <v>2411040</v>
      </c>
      <c r="F1084" s="2" t="s">
        <v>93</v>
      </c>
      <c r="G1084" s="3" t="n">
        <v>9289</v>
      </c>
      <c r="H1084" s="2" t="s">
        <v>15</v>
      </c>
      <c r="I1084" s="2" t="n">
        <v>1000</v>
      </c>
      <c r="J1084" s="4" t="n">
        <f aca="false">IFERROR(E1084*I1084/D1084,"")</f>
        <v>9289.16526040824</v>
      </c>
      <c r="K1084" s="5" t="n">
        <f aca="false">IFERROR((J1084-G1084)/G1084,"")</f>
        <v>1.7790979463795E-005</v>
      </c>
      <c r="L1084" s="2" t="str">
        <f aca="false">IF(K1084="","",IF(ABS(K1084)&gt;0.05,"CHECK","OK"))</f>
        <v>OK</v>
      </c>
    </row>
    <row r="1085" customFormat="false" ht="15" hidden="false" customHeight="false" outlineLevel="0" collapsed="false">
      <c r="A1085" s="2" t="s">
        <v>48</v>
      </c>
      <c r="B1085" s="2" t="n">
        <v>1996</v>
      </c>
      <c r="C1085" s="2" t="s">
        <v>94</v>
      </c>
      <c r="D1085" s="3" t="n">
        <v>252197</v>
      </c>
      <c r="E1085" s="3" t="n">
        <v>327680</v>
      </c>
      <c r="F1085" s="2" t="s">
        <v>95</v>
      </c>
      <c r="G1085" s="3" t="n">
        <v>221</v>
      </c>
      <c r="H1085" s="2" t="s">
        <v>15</v>
      </c>
      <c r="I1085" s="2" t="n">
        <v>170</v>
      </c>
      <c r="J1085" s="4" t="n">
        <f aca="false">IFERROR(E1085*I1085/D1085,"")</f>
        <v>220.881295177976</v>
      </c>
      <c r="K1085" s="5" t="n">
        <f aca="false">IFERROR((J1085-G1085)/G1085,"")</f>
        <v>-0.00053712589151157</v>
      </c>
      <c r="L1085" s="2" t="str">
        <f aca="false">IF(K1085="","",IF(ABS(K1085)&gt;0.05,"CHECK","OK"))</f>
        <v>OK</v>
      </c>
    </row>
    <row r="1086" customFormat="false" ht="15" hidden="false" customHeight="false" outlineLevel="0" collapsed="false">
      <c r="A1086" s="2" t="s">
        <v>49</v>
      </c>
      <c r="B1086" s="2" t="n">
        <v>1997</v>
      </c>
      <c r="C1086" s="2" t="s">
        <v>92</v>
      </c>
      <c r="D1086" s="3" t="n">
        <v>282845</v>
      </c>
      <c r="E1086" s="3" t="n">
        <v>3070190</v>
      </c>
      <c r="F1086" s="2" t="s">
        <v>93</v>
      </c>
      <c r="G1086" s="3" t="n">
        <v>10855</v>
      </c>
      <c r="H1086" s="2" t="s">
        <v>15</v>
      </c>
      <c r="I1086" s="2" t="n">
        <v>1000</v>
      </c>
      <c r="J1086" s="4" t="n">
        <f aca="false">IFERROR(E1086*I1086/D1086,"")</f>
        <v>10854.6730541463</v>
      </c>
      <c r="K1086" s="5" t="n">
        <f aca="false">IFERROR((J1086-G1086)/G1086,"")</f>
        <v>-3.01193785109264E-005</v>
      </c>
      <c r="L1086" s="2" t="str">
        <f aca="false">IF(K1086="","",IF(ABS(K1086)&gt;0.05,"CHECK","OK"))</f>
        <v>OK</v>
      </c>
    </row>
    <row r="1087" customFormat="false" ht="15" hidden="false" customHeight="false" outlineLevel="0" collapsed="false">
      <c r="A1087" s="2" t="s">
        <v>49</v>
      </c>
      <c r="B1087" s="2" t="n">
        <v>1997</v>
      </c>
      <c r="C1087" s="2" t="s">
        <v>94</v>
      </c>
      <c r="D1087" s="3" t="n">
        <v>227781</v>
      </c>
      <c r="E1087" s="3" t="n">
        <v>357990</v>
      </c>
      <c r="F1087" s="2" t="s">
        <v>95</v>
      </c>
      <c r="G1087" s="3" t="n">
        <v>267</v>
      </c>
      <c r="H1087" s="2" t="s">
        <v>15</v>
      </c>
      <c r="I1087" s="2" t="n">
        <v>170</v>
      </c>
      <c r="J1087" s="4" t="n">
        <f aca="false">IFERROR(E1087*I1087/D1087,"")</f>
        <v>267.179000882427</v>
      </c>
      <c r="K1087" s="5" t="n">
        <f aca="false">IFERROR((J1087-G1087)/G1087,"")</f>
        <v>0.000670415289986972</v>
      </c>
      <c r="L1087" s="2" t="str">
        <f aca="false">IF(K1087="","",IF(ABS(K1087)&gt;0.05,"CHECK","OK"))</f>
        <v>OK</v>
      </c>
    </row>
    <row r="1088" customFormat="false" ht="15" hidden="false" customHeight="false" outlineLevel="0" collapsed="false">
      <c r="A1088" s="2" t="s">
        <v>50</v>
      </c>
      <c r="B1088" s="2" t="n">
        <v>1998</v>
      </c>
      <c r="C1088" s="2" t="s">
        <v>92</v>
      </c>
      <c r="D1088" s="3" t="n">
        <v>306218</v>
      </c>
      <c r="E1088" s="3" t="n">
        <v>3376480</v>
      </c>
      <c r="F1088" s="2" t="s">
        <v>93</v>
      </c>
      <c r="G1088" s="3" t="n">
        <v>11026</v>
      </c>
      <c r="H1088" s="2" t="s">
        <v>15</v>
      </c>
      <c r="I1088" s="2" t="n">
        <v>1000</v>
      </c>
      <c r="J1088" s="4" t="n">
        <f aca="false">IFERROR(E1088*I1088/D1088,"")</f>
        <v>11026.3929618768</v>
      </c>
      <c r="K1088" s="5" t="n">
        <f aca="false">IFERROR((J1088-G1088)/G1088,"")</f>
        <v>3.56395680058487E-005</v>
      </c>
      <c r="L1088" s="2" t="str">
        <f aca="false">IF(K1088="","",IF(ABS(K1088)&gt;0.05,"CHECK","OK"))</f>
        <v>OK</v>
      </c>
    </row>
    <row r="1089" customFormat="false" ht="15" hidden="false" customHeight="false" outlineLevel="0" collapsed="false">
      <c r="A1089" s="2" t="s">
        <v>50</v>
      </c>
      <c r="B1089" s="2" t="n">
        <v>1998</v>
      </c>
      <c r="C1089" s="2" t="s">
        <v>94</v>
      </c>
      <c r="D1089" s="3" t="n">
        <v>218620</v>
      </c>
      <c r="E1089" s="3" t="n">
        <v>406310</v>
      </c>
      <c r="F1089" s="2" t="s">
        <v>95</v>
      </c>
      <c r="G1089" s="3" t="n">
        <v>316</v>
      </c>
      <c r="H1089" s="2" t="s">
        <v>15</v>
      </c>
      <c r="I1089" s="2" t="n">
        <v>170</v>
      </c>
      <c r="J1089" s="4" t="n">
        <f aca="false">IFERROR(E1089*I1089/D1089,"")</f>
        <v>315.94867807154</v>
      </c>
      <c r="K1089" s="5" t="n">
        <f aca="false">IFERROR((J1089-G1089)/G1089,"")</f>
        <v>-0.000162411166013822</v>
      </c>
      <c r="L1089" s="2" t="str">
        <f aca="false">IF(K1089="","",IF(ABS(K1089)&gt;0.05,"CHECK","OK"))</f>
        <v>OK</v>
      </c>
    </row>
    <row r="1090" customFormat="false" ht="15" hidden="false" customHeight="false" outlineLevel="0" collapsed="false">
      <c r="A1090" s="2" t="s">
        <v>51</v>
      </c>
      <c r="B1090" s="2" t="n">
        <v>1999</v>
      </c>
      <c r="C1090" s="2" t="s">
        <v>92</v>
      </c>
      <c r="D1090" s="3" t="n">
        <v>316440</v>
      </c>
      <c r="E1090" s="3" t="n">
        <v>3428510</v>
      </c>
      <c r="F1090" s="2" t="s">
        <v>93</v>
      </c>
      <c r="G1090" s="3" t="n">
        <v>10835</v>
      </c>
      <c r="H1090" s="2" t="s">
        <v>15</v>
      </c>
      <c r="I1090" s="2" t="n">
        <v>1000</v>
      </c>
      <c r="J1090" s="4" t="n">
        <f aca="false">IFERROR(E1090*I1090/D1090,"")</f>
        <v>10834.6289975983</v>
      </c>
      <c r="K1090" s="5" t="n">
        <f aca="false">IFERROR((J1090-G1090)/G1090,"")</f>
        <v>-3.42411076806676E-005</v>
      </c>
      <c r="L1090" s="2" t="str">
        <f aca="false">IF(K1090="","",IF(ABS(K1090)&gt;0.05,"CHECK","OK"))</f>
        <v>OK</v>
      </c>
    </row>
    <row r="1091" customFormat="false" ht="15" hidden="false" customHeight="false" outlineLevel="0" collapsed="false">
      <c r="A1091" s="2" t="s">
        <v>51</v>
      </c>
      <c r="B1091" s="2" t="n">
        <v>1999</v>
      </c>
      <c r="C1091" s="2" t="s">
        <v>94</v>
      </c>
      <c r="D1091" s="3" t="n">
        <v>178325</v>
      </c>
      <c r="E1091" s="3" t="n">
        <v>339520</v>
      </c>
      <c r="F1091" s="2" t="s">
        <v>95</v>
      </c>
      <c r="G1091" s="3" t="n">
        <v>324</v>
      </c>
      <c r="H1091" s="2" t="s">
        <v>15</v>
      </c>
      <c r="I1091" s="2" t="n">
        <v>170</v>
      </c>
      <c r="J1091" s="4" t="n">
        <f aca="false">IFERROR(E1091*I1091/D1091,"")</f>
        <v>323.669704191785</v>
      </c>
      <c r="K1091" s="5" t="n">
        <f aca="false">IFERROR((J1091-G1091)/G1091,"")</f>
        <v>-0.00101943150683747</v>
      </c>
      <c r="L1091" s="2" t="str">
        <f aca="false">IF(K1091="","",IF(ABS(K1091)&gt;0.05,"CHECK","OK"))</f>
        <v>OK</v>
      </c>
    </row>
    <row r="1092" customFormat="false" ht="15" hidden="false" customHeight="false" outlineLevel="0" collapsed="false">
      <c r="A1092" s="2" t="s">
        <v>52</v>
      </c>
      <c r="B1092" s="2" t="n">
        <v>2000</v>
      </c>
      <c r="C1092" s="2" t="s">
        <v>92</v>
      </c>
      <c r="D1092" s="3" t="n">
        <v>315316</v>
      </c>
      <c r="E1092" s="3" t="n">
        <v>3318830</v>
      </c>
      <c r="F1092" s="2" t="s">
        <v>93</v>
      </c>
      <c r="G1092" s="3" t="n">
        <v>10525</v>
      </c>
      <c r="H1092" s="2" t="s">
        <v>15</v>
      </c>
      <c r="I1092" s="2" t="n">
        <v>1000</v>
      </c>
      <c r="J1092" s="4" t="n">
        <f aca="false">IFERROR(E1092*I1092/D1092,"")</f>
        <v>10525.4094305395</v>
      </c>
      <c r="K1092" s="5" t="n">
        <f aca="false">IFERROR((J1092-G1092)/G1092,"")</f>
        <v>3.89007638501542E-005</v>
      </c>
      <c r="L1092" s="2" t="str">
        <f aca="false">IF(K1092="","",IF(ABS(K1092)&gt;0.05,"CHECK","OK"))</f>
        <v>OK</v>
      </c>
    </row>
    <row r="1093" customFormat="false" ht="15" hidden="false" customHeight="false" outlineLevel="0" collapsed="false">
      <c r="A1093" s="2" t="s">
        <v>52</v>
      </c>
      <c r="B1093" s="2" t="n">
        <v>2000</v>
      </c>
      <c r="C1093" s="2" t="s">
        <v>94</v>
      </c>
      <c r="D1093" s="3" t="n">
        <v>169917</v>
      </c>
      <c r="E1093" s="3" t="n">
        <v>316600</v>
      </c>
      <c r="F1093" s="2" t="s">
        <v>95</v>
      </c>
      <c r="G1093" s="3" t="n">
        <v>316</v>
      </c>
      <c r="H1093" s="2" t="s">
        <v>15</v>
      </c>
      <c r="I1093" s="2" t="n">
        <v>170</v>
      </c>
      <c r="J1093" s="4" t="n">
        <f aca="false">IFERROR(E1093*I1093/D1093,"")</f>
        <v>316.754650800097</v>
      </c>
      <c r="K1093" s="5" t="n">
        <f aca="false">IFERROR((J1093-G1093)/G1093,"")</f>
        <v>0.00238813544334335</v>
      </c>
      <c r="L1093" s="2" t="str">
        <f aca="false">IF(K1093="","",IF(ABS(K1093)&gt;0.05,"CHECK","OK"))</f>
        <v>OK</v>
      </c>
    </row>
    <row r="1094" customFormat="false" ht="15" hidden="false" customHeight="false" outlineLevel="0" collapsed="false">
      <c r="A1094" s="2" t="s">
        <v>53</v>
      </c>
      <c r="B1094" s="2" t="n">
        <v>2001</v>
      </c>
      <c r="C1094" s="2" t="s">
        <v>92</v>
      </c>
      <c r="D1094" s="3" t="n">
        <v>321173</v>
      </c>
      <c r="E1094" s="3" t="n">
        <v>3261490</v>
      </c>
      <c r="F1094" s="2" t="s">
        <v>93</v>
      </c>
      <c r="G1094" s="3" t="n">
        <v>10155</v>
      </c>
      <c r="H1094" s="2" t="s">
        <v>15</v>
      </c>
      <c r="I1094" s="2" t="n">
        <v>1000</v>
      </c>
      <c r="J1094" s="4" t="n">
        <f aca="false">IFERROR(E1094*I1094/D1094,"")</f>
        <v>10154.9320771049</v>
      </c>
      <c r="K1094" s="5" t="n">
        <f aca="false">IFERROR((J1094-G1094)/G1094,"")</f>
        <v>-6.68861596628252E-006</v>
      </c>
      <c r="L1094" s="2" t="str">
        <f aca="false">IF(K1094="","",IF(ABS(K1094)&gt;0.05,"CHECK","OK"))</f>
        <v>OK</v>
      </c>
    </row>
    <row r="1095" customFormat="false" ht="15" hidden="false" customHeight="false" outlineLevel="0" collapsed="false">
      <c r="A1095" s="2" t="s">
        <v>53</v>
      </c>
      <c r="B1095" s="2" t="n">
        <v>2001</v>
      </c>
      <c r="C1095" s="2" t="s">
        <v>94</v>
      </c>
      <c r="D1095" s="3" t="n">
        <v>164169</v>
      </c>
      <c r="E1095" s="3" t="n">
        <v>229730</v>
      </c>
      <c r="F1095" s="2" t="s">
        <v>95</v>
      </c>
      <c r="G1095" s="3" t="n">
        <v>238</v>
      </c>
      <c r="H1095" s="2" t="s">
        <v>15</v>
      </c>
      <c r="I1095" s="2" t="n">
        <v>170</v>
      </c>
      <c r="J1095" s="4" t="n">
        <f aca="false">IFERROR(E1095*I1095/D1095,"")</f>
        <v>237.889613751683</v>
      </c>
      <c r="K1095" s="5" t="n">
        <f aca="false">IFERROR((J1095-G1095)/G1095,"")</f>
        <v>-0.000463807766038946</v>
      </c>
      <c r="L1095" s="2" t="str">
        <f aca="false">IF(K1095="","",IF(ABS(K1095)&gt;0.05,"CHECK","OK"))</f>
        <v>OK</v>
      </c>
    </row>
    <row r="1096" customFormat="false" ht="15" hidden="false" customHeight="false" outlineLevel="0" collapsed="false">
      <c r="A1096" s="2" t="s">
        <v>54</v>
      </c>
      <c r="B1096" s="2" t="n">
        <v>2002</v>
      </c>
      <c r="C1096" s="2" t="s">
        <v>92</v>
      </c>
      <c r="D1096" s="3" t="n">
        <v>261416</v>
      </c>
      <c r="E1096" s="3" t="n">
        <v>2416539</v>
      </c>
      <c r="F1096" s="2" t="s">
        <v>93</v>
      </c>
      <c r="G1096" s="3" t="n">
        <v>9244</v>
      </c>
      <c r="H1096" s="2" t="s">
        <v>15</v>
      </c>
      <c r="I1096" s="2" t="n">
        <v>1000</v>
      </c>
      <c r="J1096" s="4" t="n">
        <f aca="false">IFERROR(E1096*I1096/D1096,"")</f>
        <v>9244.03632524406</v>
      </c>
      <c r="K1096" s="5" t="n">
        <f aca="false">IFERROR((J1096-G1096)/G1096,"")</f>
        <v>3.9296023425737E-006</v>
      </c>
      <c r="L1096" s="2" t="str">
        <f aca="false">IF(K1096="","",IF(ABS(K1096)&gt;0.05,"CHECK","OK"))</f>
        <v>OK</v>
      </c>
    </row>
    <row r="1097" customFormat="false" ht="15" hidden="false" customHeight="false" outlineLevel="0" collapsed="false">
      <c r="A1097" s="2" t="s">
        <v>54</v>
      </c>
      <c r="B1097" s="2" t="n">
        <v>2002</v>
      </c>
      <c r="C1097" s="2" t="s">
        <v>94</v>
      </c>
      <c r="D1097" s="3" t="n">
        <v>75572</v>
      </c>
      <c r="E1097" s="3" t="n">
        <v>83542</v>
      </c>
      <c r="F1097" s="2" t="s">
        <v>95</v>
      </c>
      <c r="G1097" s="3" t="n">
        <v>188</v>
      </c>
      <c r="H1097" s="2" t="s">
        <v>15</v>
      </c>
      <c r="I1097" s="2" t="n">
        <v>170</v>
      </c>
      <c r="J1097" s="4" t="n">
        <f aca="false">IFERROR(E1097*I1097/D1097,"")</f>
        <v>187.9285978934</v>
      </c>
      <c r="K1097" s="5" t="n">
        <f aca="false">IFERROR((J1097-G1097)/G1097,"")</f>
        <v>-0.000379798439363388</v>
      </c>
      <c r="L1097" s="2" t="str">
        <f aca="false">IF(K1097="","",IF(ABS(K1097)&gt;0.05,"CHECK","OK"))</f>
        <v>OK</v>
      </c>
    </row>
    <row r="1098" customFormat="false" ht="15" hidden="false" customHeight="false" outlineLevel="0" collapsed="false">
      <c r="A1098" s="2" t="s">
        <v>55</v>
      </c>
      <c r="B1098" s="2" t="n">
        <v>2003</v>
      </c>
      <c r="C1098" s="2" t="s">
        <v>92</v>
      </c>
      <c r="D1098" s="3" t="n">
        <v>192069</v>
      </c>
      <c r="E1098" s="3" t="n">
        <v>19529277</v>
      </c>
      <c r="F1098" s="2" t="s">
        <v>93</v>
      </c>
      <c r="G1098" s="3" t="n">
        <v>102</v>
      </c>
      <c r="H1098" s="2" t="s">
        <v>96</v>
      </c>
      <c r="I1098" s="2" t="n">
        <v>1</v>
      </c>
      <c r="J1098" s="4" t="n">
        <f aca="false">IFERROR(E1098*I1098/D1098,"")</f>
        <v>101.678443684301</v>
      </c>
      <c r="K1098" s="5" t="n">
        <f aca="false">IFERROR((J1098-G1098)/G1098,"")</f>
        <v>-0.00315251289901021</v>
      </c>
      <c r="L1098" s="2" t="str">
        <f aca="false">IF(K1098="","",IF(ABS(K1098)&gt;0.05,"CHECK","OK"))</f>
        <v>OK</v>
      </c>
    </row>
    <row r="1099" customFormat="false" ht="15" hidden="false" customHeight="false" outlineLevel="0" collapsed="false">
      <c r="A1099" s="2" t="s">
        <v>55</v>
      </c>
      <c r="B1099" s="2" t="n">
        <v>2003</v>
      </c>
      <c r="C1099" s="2" t="s">
        <v>94</v>
      </c>
      <c r="D1099" s="3" t="n">
        <v>97777</v>
      </c>
      <c r="E1099" s="3" t="n">
        <v>122687</v>
      </c>
      <c r="F1099" s="2" t="s">
        <v>95</v>
      </c>
      <c r="G1099" s="3" t="n">
        <v>213</v>
      </c>
      <c r="H1099" s="2" t="s">
        <v>15</v>
      </c>
      <c r="I1099" s="2" t="n">
        <v>170</v>
      </c>
      <c r="J1099" s="4" t="n">
        <f aca="false">IFERROR(E1099*I1099/D1099,"")</f>
        <v>213.309776327766</v>
      </c>
      <c r="K1099" s="5" t="n">
        <f aca="false">IFERROR((J1099-G1099)/G1099,"")</f>
        <v>0.00145434895664897</v>
      </c>
      <c r="L1099" s="2" t="str">
        <f aca="false">IF(K1099="","",IF(ABS(K1099)&gt;0.05,"CHECK","OK"))</f>
        <v>OK</v>
      </c>
    </row>
    <row r="1100" customFormat="false" ht="15" hidden="false" customHeight="false" outlineLevel="0" collapsed="false">
      <c r="A1100" s="2" t="s">
        <v>56</v>
      </c>
      <c r="B1100" s="2" t="n">
        <v>2004</v>
      </c>
      <c r="C1100" s="2" t="s">
        <v>92</v>
      </c>
      <c r="D1100" s="3" t="n">
        <v>222188</v>
      </c>
      <c r="E1100" s="3" t="n">
        <v>24457244</v>
      </c>
      <c r="F1100" s="2" t="s">
        <v>93</v>
      </c>
      <c r="G1100" s="3" t="n">
        <v>110</v>
      </c>
      <c r="H1100" s="2" t="s">
        <v>96</v>
      </c>
      <c r="I1100" s="2" t="n">
        <v>1</v>
      </c>
      <c r="J1100" s="4" t="n">
        <f aca="false">IFERROR(E1100*I1100/D1100,"")</f>
        <v>110.07454948062</v>
      </c>
      <c r="K1100" s="5" t="n">
        <f aca="false">IFERROR((J1100-G1100)/G1100,"")</f>
        <v>0.000677722551091103</v>
      </c>
      <c r="L1100" s="2" t="str">
        <f aca="false">IF(K1100="","",IF(ABS(K1100)&gt;0.05,"CHECK","OK"))</f>
        <v>OK</v>
      </c>
    </row>
    <row r="1101" customFormat="false" ht="15" hidden="false" customHeight="false" outlineLevel="0" collapsed="false">
      <c r="A1101" s="2" t="s">
        <v>56</v>
      </c>
      <c r="B1101" s="2" t="n">
        <v>2004</v>
      </c>
      <c r="C1101" s="2" t="s">
        <v>94</v>
      </c>
      <c r="D1101" s="3" t="n">
        <v>129364</v>
      </c>
      <c r="E1101" s="3" t="n">
        <v>185960</v>
      </c>
      <c r="F1101" s="2" t="s">
        <v>95</v>
      </c>
      <c r="G1101" s="3" t="n">
        <v>244</v>
      </c>
      <c r="H1101" s="2" t="s">
        <v>15</v>
      </c>
      <c r="I1101" s="2" t="n">
        <v>170</v>
      </c>
      <c r="J1101" s="4" t="n">
        <f aca="false">IFERROR(E1101*I1101/D1101,"")</f>
        <v>244.374014408955</v>
      </c>
      <c r="K1101" s="5" t="n">
        <f aca="false">IFERROR((J1101-G1101)/G1101,"")</f>
        <v>0.00153284593833838</v>
      </c>
      <c r="L1101" s="2" t="str">
        <f aca="false">IF(K1101="","",IF(ABS(K1101)&gt;0.05,"CHECK","OK"))</f>
        <v>OK</v>
      </c>
    </row>
    <row r="1102" customFormat="false" ht="15" hidden="false" customHeight="false" outlineLevel="0" collapsed="false">
      <c r="A1102" s="2" t="s">
        <v>57</v>
      </c>
      <c r="B1102" s="2" t="n">
        <v>2005</v>
      </c>
      <c r="C1102" s="2" t="s">
        <v>92</v>
      </c>
      <c r="D1102" s="3" t="n">
        <v>335397</v>
      </c>
      <c r="E1102" s="3" t="n">
        <v>35113269</v>
      </c>
      <c r="F1102" s="2" t="s">
        <v>93</v>
      </c>
      <c r="G1102" s="3" t="n">
        <v>105</v>
      </c>
      <c r="H1102" s="2" t="s">
        <v>96</v>
      </c>
      <c r="I1102" s="2" t="n">
        <v>1</v>
      </c>
      <c r="J1102" s="4" t="n">
        <f aca="false">IFERROR(E1102*I1102/D1102,"")</f>
        <v>104.6916609272</v>
      </c>
      <c r="K1102" s="5" t="n">
        <f aca="false">IFERROR((J1102-G1102)/G1102,"")</f>
        <v>-0.00293656259809804</v>
      </c>
      <c r="L1102" s="2" t="str">
        <f aca="false">IF(K1102="","",IF(ABS(K1102)&gt;0.05,"CHECK","OK"))</f>
        <v>OK</v>
      </c>
    </row>
    <row r="1103" customFormat="false" ht="15" hidden="false" customHeight="false" outlineLevel="0" collapsed="false">
      <c r="A1103" s="2" t="s">
        <v>57</v>
      </c>
      <c r="B1103" s="2" t="n">
        <v>2005</v>
      </c>
      <c r="C1103" s="2" t="s">
        <v>94</v>
      </c>
      <c r="D1103" s="3" t="n">
        <v>109742</v>
      </c>
      <c r="E1103" s="3" t="n">
        <v>168154</v>
      </c>
      <c r="F1103" s="2" t="s">
        <v>95</v>
      </c>
      <c r="G1103" s="3" t="n">
        <v>260</v>
      </c>
      <c r="H1103" s="2" t="s">
        <v>15</v>
      </c>
      <c r="I1103" s="2" t="n">
        <v>170</v>
      </c>
      <c r="J1103" s="4" t="n">
        <f aca="false">IFERROR(E1103*I1103/D1103,"")</f>
        <v>260.48532011445</v>
      </c>
      <c r="K1103" s="5" t="n">
        <f aca="false">IFERROR((J1103-G1103)/G1103,"")</f>
        <v>0.00186661582480864</v>
      </c>
      <c r="L1103" s="2" t="str">
        <f aca="false">IF(K1103="","",IF(ABS(K1103)&gt;0.05,"CHECK","OK"))</f>
        <v>OK</v>
      </c>
    </row>
    <row r="1104" customFormat="false" ht="15" hidden="false" customHeight="false" outlineLevel="0" collapsed="false">
      <c r="A1104" s="2" t="s">
        <v>58</v>
      </c>
      <c r="B1104" s="2" t="n">
        <v>2006</v>
      </c>
      <c r="C1104" s="2" t="s">
        <v>92</v>
      </c>
      <c r="D1104" s="3" t="n">
        <v>391201</v>
      </c>
      <c r="E1104" s="3" t="n">
        <v>45168458</v>
      </c>
      <c r="F1104" s="2" t="s">
        <v>93</v>
      </c>
      <c r="G1104" s="3" t="n">
        <v>115</v>
      </c>
      <c r="H1104" s="2" t="s">
        <v>96</v>
      </c>
      <c r="I1104" s="2" t="n">
        <v>1</v>
      </c>
      <c r="J1104" s="4" t="n">
        <f aca="false">IFERROR(E1104*I1104/D1104,"")</f>
        <v>115.460998310332</v>
      </c>
      <c r="K1104" s="5" t="n">
        <f aca="false">IFERROR((J1104-G1104)/G1104,"")</f>
        <v>0.00400868095940451</v>
      </c>
      <c r="L1104" s="2" t="str">
        <f aca="false">IF(K1104="","",IF(ABS(K1104)&gt;0.05,"CHECK","OK"))</f>
        <v>OK</v>
      </c>
    </row>
    <row r="1105" customFormat="false" ht="15" hidden="false" customHeight="false" outlineLevel="0" collapsed="false">
      <c r="A1105" s="2" t="s">
        <v>58</v>
      </c>
      <c r="B1105" s="2" t="n">
        <v>2006</v>
      </c>
      <c r="C1105" s="2" t="s">
        <v>94</v>
      </c>
      <c r="D1105" s="3" t="n">
        <v>100339</v>
      </c>
      <c r="E1105" s="3" t="n">
        <v>220864</v>
      </c>
      <c r="F1105" s="2" t="s">
        <v>95</v>
      </c>
      <c r="G1105" s="3" t="n">
        <v>374</v>
      </c>
      <c r="H1105" s="2" t="s">
        <v>15</v>
      </c>
      <c r="I1105" s="2" t="n">
        <v>170</v>
      </c>
      <c r="J1105" s="4" t="n">
        <f aca="false">IFERROR(E1105*I1105/D1105,"")</f>
        <v>374.200261114821</v>
      </c>
      <c r="K1105" s="5" t="n">
        <f aca="false">IFERROR((J1105-G1105)/G1105,"")</f>
        <v>0.000535457526258722</v>
      </c>
      <c r="L1105" s="2" t="str">
        <f aca="false">IF(K1105="","",IF(ABS(K1105)&gt;0.05,"CHECK","OK"))</f>
        <v>OK</v>
      </c>
    </row>
    <row r="1106" customFormat="false" ht="15" hidden="false" customHeight="false" outlineLevel="0" collapsed="false">
      <c r="A1106" s="2" t="s">
        <v>59</v>
      </c>
      <c r="B1106" s="2" t="n">
        <v>2007</v>
      </c>
      <c r="C1106" s="2" t="s">
        <v>92</v>
      </c>
      <c r="D1106" s="3" t="n">
        <v>354022</v>
      </c>
      <c r="E1106" s="3" t="n">
        <v>38070965</v>
      </c>
      <c r="F1106" s="2" t="s">
        <v>93</v>
      </c>
      <c r="G1106" s="3" t="n">
        <v>108</v>
      </c>
      <c r="H1106" s="2" t="s">
        <v>96</v>
      </c>
      <c r="I1106" s="2" t="n">
        <v>1</v>
      </c>
      <c r="J1106" s="4" t="n">
        <f aca="false">IFERROR(E1106*I1106/D1106,"")</f>
        <v>107.53841569168</v>
      </c>
      <c r="K1106" s="5" t="n">
        <f aca="false">IFERROR((J1106-G1106)/G1106,"")</f>
        <v>-0.00427392878073915</v>
      </c>
      <c r="L1106" s="2" t="str">
        <f aca="false">IF(K1106="","",IF(ABS(K1106)&gt;0.05,"CHECK","OK"))</f>
        <v>OK</v>
      </c>
    </row>
    <row r="1107" customFormat="false" ht="15" hidden="false" customHeight="false" outlineLevel="0" collapsed="false">
      <c r="A1107" s="2" t="s">
        <v>59</v>
      </c>
      <c r="B1107" s="2" t="n">
        <v>2007</v>
      </c>
      <c r="C1107" s="2" t="s">
        <v>94</v>
      </c>
      <c r="D1107" s="3" t="n">
        <v>99335</v>
      </c>
      <c r="E1107" s="3" t="n">
        <v>200673</v>
      </c>
      <c r="F1107" s="2" t="s">
        <v>95</v>
      </c>
      <c r="G1107" s="3" t="n">
        <v>343</v>
      </c>
      <c r="H1107" s="2" t="s">
        <v>15</v>
      </c>
      <c r="I1107" s="2" t="n">
        <v>170</v>
      </c>
      <c r="J1107" s="4" t="n">
        <f aca="false">IFERROR(E1107*I1107/D1107,"")</f>
        <v>343.427895505109</v>
      </c>
      <c r="K1107" s="5" t="n">
        <f aca="false">IFERROR((J1107-G1107)/G1107,"")</f>
        <v>0.00124750876125058</v>
      </c>
      <c r="L1107" s="2" t="str">
        <f aca="false">IF(K1107="","",IF(ABS(K1107)&gt;0.05,"CHECK","OK"))</f>
        <v>OK</v>
      </c>
    </row>
    <row r="1108" customFormat="false" ht="15" hidden="false" customHeight="false" outlineLevel="0" collapsed="false">
      <c r="A1108" s="2" t="s">
        <v>60</v>
      </c>
      <c r="B1108" s="2" t="n">
        <v>2008</v>
      </c>
      <c r="C1108" s="2" t="s">
        <v>92</v>
      </c>
      <c r="D1108" s="3" t="n">
        <v>308800</v>
      </c>
      <c r="E1108" s="3" t="n">
        <v>32798888</v>
      </c>
      <c r="F1108" s="2" t="s">
        <v>93</v>
      </c>
      <c r="G1108" s="3" t="n">
        <v>106</v>
      </c>
      <c r="H1108" s="2" t="s">
        <v>96</v>
      </c>
      <c r="I1108" s="2" t="n">
        <v>1</v>
      </c>
      <c r="J1108" s="4" t="n">
        <f aca="false">IFERROR(E1108*I1108/D1108,"")</f>
        <v>106.214015544041</v>
      </c>
      <c r="K1108" s="5" t="n">
        <f aca="false">IFERROR((J1108-G1108)/G1108,"")</f>
        <v>0.00201901456642872</v>
      </c>
      <c r="L1108" s="2" t="str">
        <f aca="false">IF(K1108="","",IF(ABS(K1108)&gt;0.05,"CHECK","OK"))</f>
        <v>OK</v>
      </c>
    </row>
    <row r="1109" customFormat="false" ht="15" hidden="false" customHeight="false" outlineLevel="0" collapsed="false">
      <c r="A1109" s="2" t="s">
        <v>60</v>
      </c>
      <c r="B1109" s="2" t="n">
        <v>2008</v>
      </c>
      <c r="C1109" s="2" t="s">
        <v>94</v>
      </c>
      <c r="D1109" s="3" t="n">
        <v>114516</v>
      </c>
      <c r="E1109" s="3" t="n">
        <v>187673</v>
      </c>
      <c r="F1109" s="2" t="s">
        <v>95</v>
      </c>
      <c r="G1109" s="3" t="n">
        <v>279</v>
      </c>
      <c r="H1109" s="2" t="s">
        <v>15</v>
      </c>
      <c r="I1109" s="2" t="n">
        <v>170</v>
      </c>
      <c r="J1109" s="4" t="n">
        <f aca="false">IFERROR(E1109*I1109/D1109,"")</f>
        <v>278.602204058822</v>
      </c>
      <c r="K1109" s="5" t="n">
        <f aca="false">IFERROR((J1109-G1109)/G1109,"")</f>
        <v>-0.00142579190386565</v>
      </c>
      <c r="L1109" s="2" t="str">
        <f aca="false">IF(K1109="","",IF(ABS(K1109)&gt;0.05,"CHECK","OK"))</f>
        <v>OK</v>
      </c>
    </row>
    <row r="1110" customFormat="false" ht="15" hidden="false" customHeight="false" outlineLevel="0" collapsed="false">
      <c r="A1110" s="2" t="s">
        <v>61</v>
      </c>
      <c r="B1110" s="2" t="n">
        <v>2009</v>
      </c>
      <c r="C1110" s="2" t="s">
        <v>92</v>
      </c>
      <c r="D1110" s="3" t="n">
        <v>293329</v>
      </c>
      <c r="E1110" s="3" t="n">
        <v>29758209</v>
      </c>
      <c r="F1110" s="2" t="s">
        <v>93</v>
      </c>
      <c r="G1110" s="3" t="n">
        <v>101</v>
      </c>
      <c r="H1110" s="2" t="s">
        <v>96</v>
      </c>
      <c r="I1110" s="2" t="n">
        <v>1</v>
      </c>
      <c r="J1110" s="4" t="n">
        <f aca="false">IFERROR(E1110*I1110/D1110,"")</f>
        <v>101.449938465</v>
      </c>
      <c r="K1110" s="5" t="n">
        <f aca="false">IFERROR((J1110-G1110)/G1110,"")</f>
        <v>0.00445483628712916</v>
      </c>
      <c r="L1110" s="2" t="str">
        <f aca="false">IF(K1110="","",IF(ABS(K1110)&gt;0.05,"CHECK","OK"))</f>
        <v>OK</v>
      </c>
    </row>
    <row r="1111" customFormat="false" ht="15" hidden="false" customHeight="false" outlineLevel="0" collapsed="false">
      <c r="A1111" s="2" t="s">
        <v>61</v>
      </c>
      <c r="B1111" s="2" t="n">
        <v>2009</v>
      </c>
      <c r="C1111" s="2" t="s">
        <v>94</v>
      </c>
      <c r="D1111" s="3" t="n">
        <v>104095</v>
      </c>
      <c r="E1111" s="3" t="n">
        <v>225448</v>
      </c>
      <c r="F1111" s="2" t="s">
        <v>95</v>
      </c>
      <c r="G1111" s="3" t="n">
        <v>368</v>
      </c>
      <c r="H1111" s="2" t="s">
        <v>15</v>
      </c>
      <c r="I1111" s="2" t="n">
        <v>170</v>
      </c>
      <c r="J1111" s="4" t="n">
        <f aca="false">IFERROR(E1111*I1111/D1111,"")</f>
        <v>368.184446899467</v>
      </c>
      <c r="K1111" s="5" t="n">
        <f aca="false">IFERROR((J1111-G1111)/G1111,"")</f>
        <v>0.000501214400725056</v>
      </c>
      <c r="L1111" s="2" t="str">
        <f aca="false">IF(K1111="","",IF(ABS(K1111)&gt;0.05,"CHECK","OK"))</f>
        <v>OK</v>
      </c>
    </row>
    <row r="1112" customFormat="false" ht="15" hidden="false" customHeight="false" outlineLevel="0" collapsed="false">
      <c r="A1112" s="2" t="s">
        <v>62</v>
      </c>
      <c r="B1112" s="2" t="n">
        <v>2010</v>
      </c>
      <c r="C1112" s="2" t="s">
        <v>92</v>
      </c>
      <c r="D1112" s="3" t="n">
        <v>315961</v>
      </c>
      <c r="E1112" s="3" t="n">
        <v>34251796</v>
      </c>
      <c r="F1112" s="2" t="s">
        <v>93</v>
      </c>
      <c r="G1112" s="3" t="n">
        <v>108</v>
      </c>
      <c r="H1112" s="2" t="s">
        <v>96</v>
      </c>
      <c r="I1112" s="2" t="n">
        <v>1</v>
      </c>
      <c r="J1112" s="4" t="n">
        <f aca="false">IFERROR(E1112*I1112/D1112,"")</f>
        <v>108.405138608879</v>
      </c>
      <c r="K1112" s="5" t="n">
        <f aca="false">IFERROR((J1112-G1112)/G1112,"")</f>
        <v>0.00375128341554577</v>
      </c>
      <c r="L1112" s="2" t="str">
        <f aca="false">IF(K1112="","",IF(ABS(K1112)&gt;0.05,"CHECK","OK"))</f>
        <v>OK</v>
      </c>
    </row>
    <row r="1113" customFormat="false" ht="15" hidden="false" customHeight="false" outlineLevel="0" collapsed="false">
      <c r="A1113" s="2" t="s">
        <v>62</v>
      </c>
      <c r="B1113" s="2" t="n">
        <v>2010</v>
      </c>
      <c r="C1113" s="2" t="s">
        <v>94</v>
      </c>
      <c r="D1113" s="3" t="n">
        <v>120765</v>
      </c>
      <c r="E1113" s="3" t="n">
        <v>247930</v>
      </c>
      <c r="F1113" s="2" t="s">
        <v>95</v>
      </c>
      <c r="G1113" s="3" t="n">
        <v>349</v>
      </c>
      <c r="H1113" s="2" t="s">
        <v>15</v>
      </c>
      <c r="I1113" s="2" t="n">
        <v>170</v>
      </c>
      <c r="J1113" s="4" t="n">
        <f aca="false">IFERROR(E1113*I1113/D1113,"")</f>
        <v>349.009232807519</v>
      </c>
      <c r="K1113" s="5" t="n">
        <f aca="false">IFERROR((J1113-G1113)/G1113,"")</f>
        <v>2.64550358703222E-005</v>
      </c>
      <c r="L1113" s="2" t="str">
        <f aca="false">IF(K1113="","",IF(ABS(K1113)&gt;0.05,"CHECK","OK"))</f>
        <v>OK</v>
      </c>
    </row>
    <row r="1114" customFormat="false" ht="15" hidden="false" customHeight="false" outlineLevel="0" collapsed="false">
      <c r="A1114" s="2" t="s">
        <v>63</v>
      </c>
      <c r="B1114" s="2" t="n">
        <v>2011</v>
      </c>
      <c r="C1114" s="2" t="s">
        <v>92</v>
      </c>
      <c r="D1114" s="3" t="n">
        <v>346350</v>
      </c>
      <c r="E1114" s="3" t="n">
        <v>38974842</v>
      </c>
      <c r="F1114" s="2" t="s">
        <v>93</v>
      </c>
      <c r="G1114" s="3" t="n">
        <v>109</v>
      </c>
      <c r="H1114" s="2" t="s">
        <v>96</v>
      </c>
      <c r="I1114" s="2" t="n">
        <v>1</v>
      </c>
      <c r="J1114" s="4" t="n">
        <f aca="false">IFERROR(E1114*I1114/D1114,"")</f>
        <v>112.530220874838</v>
      </c>
      <c r="K1114" s="5" t="n">
        <f aca="false">IFERROR((J1114-G1114)/G1114,"")</f>
        <v>0.0323873474755743</v>
      </c>
      <c r="L1114" s="2" t="str">
        <f aca="false">IF(K1114="","",IF(ABS(K1114)&gt;0.05,"CHECK","OK"))</f>
        <v>OK</v>
      </c>
    </row>
    <row r="1115" customFormat="false" ht="15" hidden="false" customHeight="false" outlineLevel="0" collapsed="false">
      <c r="A1115" s="2" t="s">
        <v>63</v>
      </c>
      <c r="B1115" s="2" t="n">
        <v>2011</v>
      </c>
      <c r="C1115" s="2" t="s">
        <v>94</v>
      </c>
      <c r="D1115" s="3" t="n">
        <v>135805</v>
      </c>
      <c r="E1115" s="3" t="n">
        <v>381769</v>
      </c>
      <c r="F1115" s="2" t="s">
        <v>95</v>
      </c>
      <c r="G1115" s="3" t="n">
        <v>481</v>
      </c>
      <c r="H1115" s="2" t="s">
        <v>15</v>
      </c>
      <c r="I1115" s="2" t="n">
        <v>170</v>
      </c>
      <c r="J1115" s="4" t="n">
        <f aca="false">IFERROR(E1115*I1115/D1115,"")</f>
        <v>477.896469202165</v>
      </c>
      <c r="K1115" s="5" t="n">
        <f aca="false">IFERROR((J1115-G1115)/G1115,"")</f>
        <v>-0.00645224698094617</v>
      </c>
      <c r="L1115" s="2" t="str">
        <f aca="false">IF(K1115="","",IF(ABS(K1115)&gt;0.05,"CHECK","OK"))</f>
        <v>OK</v>
      </c>
    </row>
    <row r="1116" customFormat="false" ht="15" hidden="false" customHeight="false" outlineLevel="0" collapsed="false">
      <c r="A1116" s="2" t="s">
        <v>64</v>
      </c>
      <c r="B1116" s="2" t="n">
        <v>2012</v>
      </c>
      <c r="C1116" s="2" t="s">
        <v>92</v>
      </c>
      <c r="D1116" s="3" t="n">
        <v>348379</v>
      </c>
      <c r="E1116" s="3" t="n">
        <v>34014097</v>
      </c>
      <c r="F1116" s="2" t="s">
        <v>93</v>
      </c>
      <c r="G1116" s="3" t="n">
        <v>98</v>
      </c>
      <c r="H1116" s="2" t="s">
        <v>96</v>
      </c>
      <c r="I1116" s="2" t="n">
        <v>1</v>
      </c>
      <c r="J1116" s="4" t="n">
        <f aca="false">IFERROR(E1116*I1116/D1116,"")</f>
        <v>97.6353253209866</v>
      </c>
      <c r="K1116" s="5" t="n">
        <f aca="false">IFERROR((J1116-G1116)/G1116,"")</f>
        <v>-0.00372117019401404</v>
      </c>
      <c r="L1116" s="2" t="str">
        <f aca="false">IF(K1116="","",IF(ABS(K1116)&gt;0.05,"CHECK","OK"))</f>
        <v>OK</v>
      </c>
    </row>
    <row r="1117" customFormat="false" ht="15" hidden="false" customHeight="false" outlineLevel="0" collapsed="false">
      <c r="A1117" s="2" t="s">
        <v>64</v>
      </c>
      <c r="B1117" s="2" t="n">
        <v>2012</v>
      </c>
      <c r="C1117" s="2" t="s">
        <v>94</v>
      </c>
      <c r="D1117" s="3" t="n">
        <v>133215</v>
      </c>
      <c r="E1117" s="3" t="n">
        <v>255470</v>
      </c>
      <c r="F1117" s="2" t="s">
        <v>95</v>
      </c>
      <c r="G1117" s="3" t="n">
        <v>326</v>
      </c>
      <c r="H1117" s="2" t="s">
        <v>15</v>
      </c>
      <c r="I1117" s="2" t="n">
        <v>170</v>
      </c>
      <c r="J1117" s="4" t="n">
        <f aca="false">IFERROR(E1117*I1117/D1117,"")</f>
        <v>326.013587058514</v>
      </c>
      <c r="K1117" s="5" t="n">
        <f aca="false">IFERROR((J1117-G1117)/G1117,"")</f>
        <v>4.16780936025078E-005</v>
      </c>
      <c r="L1117" s="2" t="str">
        <f aca="false">IF(K1117="","",IF(ABS(K1117)&gt;0.05,"CHECK","OK"))</f>
        <v>OK</v>
      </c>
    </row>
    <row r="1118" customFormat="false" ht="15" hidden="false" customHeight="false" outlineLevel="0" collapsed="false">
      <c r="A1118" s="2" t="s">
        <v>65</v>
      </c>
      <c r="B1118" s="2" t="n">
        <v>2013</v>
      </c>
      <c r="C1118" s="2" t="s">
        <v>92</v>
      </c>
      <c r="D1118" s="3" t="n">
        <v>313343</v>
      </c>
      <c r="E1118" s="3" t="n">
        <v>32454135</v>
      </c>
      <c r="F1118" s="2" t="s">
        <v>93</v>
      </c>
      <c r="G1118" s="3" t="n">
        <v>104</v>
      </c>
      <c r="H1118" s="2" t="s">
        <v>96</v>
      </c>
      <c r="I1118" s="2" t="n">
        <v>1</v>
      </c>
      <c r="J1118" s="4" t="n">
        <f aca="false">IFERROR(E1118*I1118/D1118,"")</f>
        <v>103.573831232866</v>
      </c>
      <c r="K1118" s="5" t="n">
        <f aca="false">IFERROR((J1118-G1118)/G1118,"")</f>
        <v>-0.00409777660705552</v>
      </c>
      <c r="L1118" s="2" t="str">
        <f aca="false">IF(K1118="","",IF(ABS(K1118)&gt;0.05,"CHECK","OK"))</f>
        <v>OK</v>
      </c>
    </row>
    <row r="1119" customFormat="false" ht="15" hidden="false" customHeight="false" outlineLevel="0" collapsed="false">
      <c r="A1119" s="2" t="s">
        <v>65</v>
      </c>
      <c r="B1119" s="2" t="n">
        <v>2013</v>
      </c>
      <c r="C1119" s="2" t="s">
        <v>94</v>
      </c>
      <c r="D1119" s="3" t="n">
        <v>150963</v>
      </c>
      <c r="E1119" s="3" t="n">
        <v>416560</v>
      </c>
      <c r="F1119" s="2" t="s">
        <v>95</v>
      </c>
      <c r="G1119" s="3" t="n">
        <v>469</v>
      </c>
      <c r="H1119" s="2" t="s">
        <v>15</v>
      </c>
      <c r="I1119" s="2" t="n">
        <v>170</v>
      </c>
      <c r="J1119" s="4" t="n">
        <f aca="false">IFERROR(E1119*I1119/D1119,"")</f>
        <v>469.089776965217</v>
      </c>
      <c r="K1119" s="5" t="n">
        <f aca="false">IFERROR((J1119-G1119)/G1119,"")</f>
        <v>0.000191422100675115</v>
      </c>
      <c r="L1119" s="2" t="str">
        <f aca="false">IF(K1119="","",IF(ABS(K1119)&gt;0.05,"CHECK","OK"))</f>
        <v>OK</v>
      </c>
    </row>
    <row r="1120" customFormat="false" ht="15" hidden="false" customHeight="false" outlineLevel="0" collapsed="false">
      <c r="A1120" s="2" t="s">
        <v>66</v>
      </c>
      <c r="B1120" s="2" t="n">
        <v>2014</v>
      </c>
      <c r="C1120" s="2" t="s">
        <v>92</v>
      </c>
      <c r="D1120" s="3" t="n">
        <v>263066</v>
      </c>
      <c r="E1120" s="3" t="n">
        <v>28092784</v>
      </c>
      <c r="F1120" s="2" t="s">
        <v>93</v>
      </c>
      <c r="G1120" s="3" t="n">
        <v>107</v>
      </c>
      <c r="H1120" s="2" t="s">
        <v>96</v>
      </c>
      <c r="I1120" s="2" t="n">
        <v>1</v>
      </c>
      <c r="J1120" s="4" t="n">
        <f aca="false">IFERROR(E1120*I1120/D1120,"")</f>
        <v>106.789870222682</v>
      </c>
      <c r="K1120" s="5" t="n">
        <f aca="false">IFERROR((J1120-G1120)/G1120,"")</f>
        <v>-0.00196382969456303</v>
      </c>
      <c r="L1120" s="2" t="str">
        <f aca="false">IF(K1120="","",IF(ABS(K1120)&gt;0.05,"CHECK","OK"))</f>
        <v>OK</v>
      </c>
    </row>
    <row r="1121" customFormat="false" ht="15" hidden="false" customHeight="false" outlineLevel="0" collapsed="false">
      <c r="A1121" s="2" t="s">
        <v>66</v>
      </c>
      <c r="B1121" s="2" t="n">
        <v>2014</v>
      </c>
      <c r="C1121" s="2" t="s">
        <v>94</v>
      </c>
      <c r="D1121" s="3" t="n">
        <v>186693</v>
      </c>
      <c r="E1121" s="3" t="n">
        <v>598939</v>
      </c>
      <c r="F1121" s="2" t="s">
        <v>95</v>
      </c>
      <c r="G1121" s="3" t="n">
        <v>545</v>
      </c>
      <c r="H1121" s="2" t="s">
        <v>15</v>
      </c>
      <c r="I1121" s="2" t="n">
        <v>170</v>
      </c>
      <c r="J1121" s="4" t="n">
        <f aca="false">IFERROR(E1121*I1121/D1121,"")</f>
        <v>545.385365278827</v>
      </c>
      <c r="K1121" s="5" t="n">
        <f aca="false">IFERROR((J1121-G1121)/G1121,"")</f>
        <v>0.000707092254727937</v>
      </c>
      <c r="L1121" s="2" t="str">
        <f aca="false">IF(K1121="","",IF(ABS(K1121)&gt;0.05,"CHECK","OK"))</f>
        <v>OK</v>
      </c>
    </row>
    <row r="1122" customFormat="false" ht="15" hidden="false" customHeight="false" outlineLevel="0" collapsed="false">
      <c r="A1122" s="2" t="s">
        <v>67</v>
      </c>
      <c r="B1122" s="2" t="n">
        <v>2015</v>
      </c>
      <c r="C1122" s="2" t="s">
        <v>92</v>
      </c>
      <c r="D1122" s="3" t="n">
        <v>252272</v>
      </c>
      <c r="E1122" s="3" t="n">
        <v>25508824</v>
      </c>
      <c r="F1122" s="2" t="s">
        <v>93</v>
      </c>
      <c r="G1122" s="3" t="n">
        <v>101</v>
      </c>
      <c r="H1122" s="2" t="s">
        <v>96</v>
      </c>
      <c r="I1122" s="2" t="n">
        <v>1</v>
      </c>
      <c r="J1122" s="4" t="n">
        <f aca="false">IFERROR(E1122*I1122/D1122,"")</f>
        <v>101.116350605695</v>
      </c>
      <c r="K1122" s="5" t="n">
        <f aca="false">IFERROR((J1122-G1122)/G1122,"")</f>
        <v>0.0011519861950044</v>
      </c>
      <c r="L1122" s="2" t="str">
        <f aca="false">IF(K1122="","",IF(ABS(K1122)&gt;0.05,"CHECK","OK"))</f>
        <v>OK</v>
      </c>
    </row>
    <row r="1123" customFormat="false" ht="15" hidden="false" customHeight="false" outlineLevel="0" collapsed="false">
      <c r="A1123" s="2" t="s">
        <v>67</v>
      </c>
      <c r="B1123" s="2" t="n">
        <v>2015</v>
      </c>
      <c r="C1123" s="2" t="s">
        <v>94</v>
      </c>
      <c r="D1123" s="3" t="n">
        <v>148087</v>
      </c>
      <c r="E1123" s="3" t="n">
        <v>326659</v>
      </c>
      <c r="F1123" s="2" t="s">
        <v>95</v>
      </c>
      <c r="G1123" s="3" t="n">
        <v>375</v>
      </c>
      <c r="H1123" s="2" t="s">
        <v>15</v>
      </c>
      <c r="I1123" s="2" t="n">
        <v>170</v>
      </c>
      <c r="J1123" s="4" t="n">
        <f aca="false">IFERROR(E1123*I1123/D1123,"")</f>
        <v>374.995982091608</v>
      </c>
      <c r="K1123" s="5" t="n">
        <f aca="false">IFERROR((J1123-G1123)/G1123,"")</f>
        <v>-1.07144223778353E-005</v>
      </c>
      <c r="L1123" s="2" t="str">
        <f aca="false">IF(K1123="","",IF(ABS(K1123)&gt;0.05,"CHECK","OK"))</f>
        <v>OK</v>
      </c>
    </row>
    <row r="1124" customFormat="false" ht="15" hidden="false" customHeight="false" outlineLevel="0" collapsed="false">
      <c r="A1124" s="2" t="s">
        <v>68</v>
      </c>
      <c r="B1124" s="2" t="n">
        <v>2016</v>
      </c>
      <c r="C1124" s="2" t="s">
        <v>92</v>
      </c>
      <c r="D1124" s="3" t="n">
        <v>218262</v>
      </c>
      <c r="E1124" s="3" t="n">
        <v>18987555</v>
      </c>
      <c r="F1124" s="2" t="s">
        <v>93</v>
      </c>
      <c r="G1124" s="3" t="n">
        <v>87</v>
      </c>
      <c r="H1124" s="2" t="s">
        <v>96</v>
      </c>
      <c r="I1124" s="2" t="n">
        <v>1</v>
      </c>
      <c r="J1124" s="4" t="n">
        <f aca="false">IFERROR(E1124*I1124/D1124,"")</f>
        <v>86.994323336174</v>
      </c>
      <c r="K1124" s="5" t="n">
        <f aca="false">IFERROR((J1124-G1124)/G1124,"")</f>
        <v>-6.52490094946787E-005</v>
      </c>
      <c r="L1124" s="2" t="str">
        <f aca="false">IF(K1124="","",IF(ABS(K1124)&gt;0.05,"CHECK","OK"))</f>
        <v>OK</v>
      </c>
    </row>
    <row r="1125" customFormat="false" ht="15" hidden="false" customHeight="false" outlineLevel="0" collapsed="false">
      <c r="A1125" s="2" t="s">
        <v>68</v>
      </c>
      <c r="B1125" s="2" t="n">
        <v>2016</v>
      </c>
      <c r="C1125" s="2" t="s">
        <v>94</v>
      </c>
      <c r="D1125" s="3" t="n">
        <v>148211</v>
      </c>
      <c r="E1125" s="3" t="n">
        <v>201516</v>
      </c>
      <c r="F1125" s="2" t="s">
        <v>95</v>
      </c>
      <c r="G1125" s="3" t="n">
        <v>231</v>
      </c>
      <c r="H1125" s="2" t="s">
        <v>15</v>
      </c>
      <c r="I1125" s="2" t="n">
        <v>170</v>
      </c>
      <c r="J1125" s="4" t="n">
        <f aca="false">IFERROR(E1125*I1125/D1125,"")</f>
        <v>231.141548198177</v>
      </c>
      <c r="K1125" s="5" t="n">
        <f aca="false">IFERROR((J1125-G1125)/G1125,"")</f>
        <v>0.000612762762670713</v>
      </c>
      <c r="L1125" s="2" t="str">
        <f aca="false">IF(K1125="","",IF(ABS(K1125)&gt;0.05,"CHECK","OK"))</f>
        <v>OK</v>
      </c>
    </row>
    <row r="1126" customFormat="false" ht="15" hidden="false" customHeight="false" outlineLevel="0" collapsed="false">
      <c r="A1126" s="2" t="s">
        <v>69</v>
      </c>
      <c r="B1126" s="2" t="n">
        <v>2017</v>
      </c>
      <c r="C1126" s="2" t="s">
        <v>92</v>
      </c>
      <c r="D1126" s="3" t="n">
        <v>171856</v>
      </c>
      <c r="E1126" s="3" t="n">
        <v>17153978</v>
      </c>
      <c r="F1126" s="2" t="s">
        <v>93</v>
      </c>
      <c r="G1126" s="3" t="n">
        <v>100</v>
      </c>
      <c r="H1126" s="2" t="s">
        <v>96</v>
      </c>
      <c r="I1126" s="2" t="n">
        <v>1</v>
      </c>
      <c r="J1126" s="4" t="n">
        <f aca="false">IFERROR(E1126*I1126/D1126,"")</f>
        <v>99.8159971138628</v>
      </c>
      <c r="K1126" s="5" t="n">
        <f aca="false">IFERROR((J1126-G1126)/G1126,"")</f>
        <v>-0.00184002886137236</v>
      </c>
      <c r="L1126" s="2" t="str">
        <f aca="false">IF(K1126="","",IF(ABS(K1126)&gt;0.05,"CHECK","OK"))</f>
        <v>OK</v>
      </c>
    </row>
    <row r="1127" customFormat="false" ht="15" hidden="false" customHeight="false" outlineLevel="0" collapsed="false">
      <c r="A1127" s="2" t="s">
        <v>69</v>
      </c>
      <c r="B1127" s="2" t="n">
        <v>2017</v>
      </c>
      <c r="C1127" s="2" t="s">
        <v>94</v>
      </c>
      <c r="D1127" s="3" t="n">
        <v>181631</v>
      </c>
      <c r="E1127" s="3" t="n">
        <v>438585</v>
      </c>
      <c r="F1127" s="2" t="s">
        <v>95</v>
      </c>
      <c r="G1127" s="3" t="n">
        <v>410</v>
      </c>
      <c r="H1127" s="2" t="s">
        <v>15</v>
      </c>
      <c r="I1127" s="2" t="n">
        <v>170</v>
      </c>
      <c r="J1127" s="4" t="n">
        <f aca="false">IFERROR(E1127*I1127/D1127,"")</f>
        <v>410.49958432206</v>
      </c>
      <c r="K1127" s="5" t="n">
        <f aca="false">IFERROR((J1127-G1127)/G1127,"")</f>
        <v>0.0012184983464867</v>
      </c>
      <c r="L1127" s="2" t="str">
        <f aca="false">IF(K1127="","",IF(ABS(K1127)&gt;0.05,"CHECK","OK"))</f>
        <v>OK</v>
      </c>
    </row>
    <row r="1128" customFormat="false" ht="15" hidden="false" customHeight="false" outlineLevel="0" collapsed="false">
      <c r="A1128" s="2" t="s">
        <v>70</v>
      </c>
      <c r="B1128" s="2" t="n">
        <v>2018</v>
      </c>
      <c r="C1128" s="2" t="s">
        <v>92</v>
      </c>
      <c r="D1128" s="3" t="n">
        <v>166415</v>
      </c>
      <c r="E1128" s="3" t="n">
        <v>17096340</v>
      </c>
      <c r="F1128" s="2" t="s">
        <v>93</v>
      </c>
      <c r="G1128" s="3" t="n">
        <v>103</v>
      </c>
      <c r="H1128" s="2" t="s">
        <v>96</v>
      </c>
      <c r="I1128" s="2" t="n">
        <v>1</v>
      </c>
      <c r="J1128" s="4" t="n">
        <f aca="false">IFERROR(E1128*I1128/D1128,"")</f>
        <v>102.733167082294</v>
      </c>
      <c r="K1128" s="5" t="n">
        <f aca="false">IFERROR((J1128-G1128)/G1128,"")</f>
        <v>-0.00259061085151205</v>
      </c>
      <c r="L1128" s="2" t="str">
        <f aca="false">IF(K1128="","",IF(ABS(K1128)&gt;0.05,"CHECK","OK"))</f>
        <v>OK</v>
      </c>
    </row>
    <row r="1129" customFormat="false" ht="15" hidden="false" customHeight="false" outlineLevel="0" collapsed="false">
      <c r="A1129" s="2" t="s">
        <v>70</v>
      </c>
      <c r="B1129" s="2" t="n">
        <v>2018</v>
      </c>
      <c r="C1129" s="2" t="s">
        <v>94</v>
      </c>
      <c r="D1129" s="3" t="n">
        <v>134921</v>
      </c>
      <c r="E1129" s="3" t="n">
        <v>320303</v>
      </c>
      <c r="F1129" s="2" t="s">
        <v>95</v>
      </c>
      <c r="G1129" s="3" t="n">
        <v>404</v>
      </c>
      <c r="H1129" s="2" t="s">
        <v>15</v>
      </c>
      <c r="I1129" s="2" t="n">
        <v>170</v>
      </c>
      <c r="J1129" s="4" t="n">
        <f aca="false">IFERROR(E1129*I1129/D1129,"")</f>
        <v>403.580687958138</v>
      </c>
      <c r="K1129" s="5" t="n">
        <f aca="false">IFERROR((J1129-G1129)/G1129,"")</f>
        <v>-0.00103790109371666</v>
      </c>
      <c r="L1129" s="2" t="str">
        <f aca="false">IF(K1129="","",IF(ABS(K1129)&gt;0.05,"CHECK","OK"))</f>
        <v>OK</v>
      </c>
    </row>
    <row r="1130" customFormat="false" ht="15" hidden="false" customHeight="false" outlineLevel="0" collapsed="false">
      <c r="A1130" s="2" t="s">
        <v>71</v>
      </c>
      <c r="B1130" s="2" t="n">
        <v>2019</v>
      </c>
      <c r="C1130" s="2" t="s">
        <v>92</v>
      </c>
      <c r="D1130" s="3" t="n">
        <v>131207</v>
      </c>
      <c r="E1130" s="3" t="n">
        <v>14119210</v>
      </c>
      <c r="F1130" s="2" t="s">
        <v>93</v>
      </c>
      <c r="G1130" s="3" t="n">
        <v>108</v>
      </c>
      <c r="H1130" s="2" t="s">
        <v>96</v>
      </c>
      <c r="I1130" s="2" t="n">
        <v>1</v>
      </c>
      <c r="J1130" s="4" t="n">
        <f aca="false">IFERROR(E1130*I1130/D1130,"")</f>
        <v>107.610188480798</v>
      </c>
      <c r="K1130" s="5" t="n">
        <f aca="false">IFERROR((J1130-G1130)/G1130,"")</f>
        <v>-0.0036093659185415</v>
      </c>
      <c r="L1130" s="2" t="str">
        <f aca="false">IF(K1130="","",IF(ABS(K1130)&gt;0.05,"CHECK","OK"))</f>
        <v>OK</v>
      </c>
    </row>
    <row r="1131" customFormat="false" ht="15" hidden="false" customHeight="false" outlineLevel="0" collapsed="false">
      <c r="A1131" s="2" t="s">
        <v>71</v>
      </c>
      <c r="B1131" s="2" t="n">
        <v>2019</v>
      </c>
      <c r="C1131" s="2" t="s">
        <v>94</v>
      </c>
      <c r="D1131" s="3" t="n">
        <v>169498</v>
      </c>
      <c r="E1131" s="3" t="n">
        <v>418081</v>
      </c>
      <c r="F1131" s="2" t="s">
        <v>95</v>
      </c>
      <c r="G1131" s="3" t="n">
        <v>419</v>
      </c>
      <c r="H1131" s="2" t="s">
        <v>15</v>
      </c>
      <c r="I1131" s="2" t="n">
        <v>170</v>
      </c>
      <c r="J1131" s="4" t="n">
        <f aca="false">IFERROR(E1131*I1131/D1131,"")</f>
        <v>419.319225005605</v>
      </c>
      <c r="K1131" s="5" t="n">
        <f aca="false">IFERROR((J1131-G1131)/G1131,"")</f>
        <v>0.000761873521729781</v>
      </c>
      <c r="L1131" s="2" t="str">
        <f aca="false">IF(K1131="","",IF(ABS(K1131)&gt;0.05,"CHECK","OK"))</f>
        <v>OK</v>
      </c>
    </row>
    <row r="1132" customFormat="false" ht="15" hidden="false" customHeight="false" outlineLevel="0" collapsed="false">
      <c r="A1132" s="2" t="s">
        <v>72</v>
      </c>
      <c r="B1132" s="2" t="n">
        <v>2020</v>
      </c>
      <c r="C1132" s="2" t="s">
        <v>92</v>
      </c>
      <c r="D1132" s="3" t="n">
        <v>127696</v>
      </c>
      <c r="E1132" s="3" t="n">
        <v>13284215</v>
      </c>
      <c r="F1132" s="2" t="s">
        <v>93</v>
      </c>
      <c r="G1132" s="3" t="n">
        <v>104</v>
      </c>
      <c r="H1132" s="2" t="s">
        <v>96</v>
      </c>
      <c r="I1132" s="2" t="n">
        <v>1</v>
      </c>
      <c r="J1132" s="4" t="n">
        <f aca="false">IFERROR(E1132*I1132/D1132,"")</f>
        <v>104.030000939732</v>
      </c>
      <c r="K1132" s="5" t="n">
        <f aca="false">IFERROR((J1132-G1132)/G1132,"")</f>
        <v>0.000288470574344839</v>
      </c>
      <c r="L1132" s="2" t="str">
        <f aca="false">IF(K1132="","",IF(ABS(K1132)&gt;0.05,"CHECK","OK"))</f>
        <v>OK</v>
      </c>
    </row>
    <row r="1133" customFormat="false" ht="15" hidden="false" customHeight="false" outlineLevel="0" collapsed="false">
      <c r="A1133" s="2" t="s">
        <v>72</v>
      </c>
      <c r="B1133" s="2" t="n">
        <v>2020</v>
      </c>
      <c r="C1133" s="2" t="s">
        <v>94</v>
      </c>
      <c r="D1133" s="3" t="n">
        <v>112052</v>
      </c>
      <c r="E1133" s="3" t="n">
        <v>242935</v>
      </c>
      <c r="F1133" s="2" t="s">
        <v>95</v>
      </c>
      <c r="G1133" s="3" t="n">
        <v>369</v>
      </c>
      <c r="H1133" s="2" t="s">
        <v>15</v>
      </c>
      <c r="I1133" s="2" t="n">
        <v>170</v>
      </c>
      <c r="J1133" s="4" t="n">
        <f aca="false">IFERROR(E1133*I1133/D1133,"")</f>
        <v>368.569503444829</v>
      </c>
      <c r="K1133" s="5" t="n">
        <f aca="false">IFERROR((J1133-G1133)/G1133,"")</f>
        <v>-0.00116665733108619</v>
      </c>
      <c r="L1133" s="2" t="str">
        <f aca="false">IF(K1133="","",IF(ABS(K1133)&gt;0.05,"CHECK","OK"))</f>
        <v>OK</v>
      </c>
    </row>
    <row r="1134" customFormat="false" ht="15" hidden="false" customHeight="false" outlineLevel="0" collapsed="false">
      <c r="A1134" s="2" t="s">
        <v>73</v>
      </c>
      <c r="B1134" s="2" t="n">
        <v>2021</v>
      </c>
      <c r="C1134" s="2" t="s">
        <v>92</v>
      </c>
      <c r="D1134" s="3" t="n">
        <v>147993</v>
      </c>
      <c r="E1134" s="3" t="n">
        <v>16166878</v>
      </c>
      <c r="F1134" s="2" t="s">
        <v>93</v>
      </c>
      <c r="G1134" s="3" t="n">
        <v>109</v>
      </c>
      <c r="H1134" s="2" t="s">
        <v>96</v>
      </c>
      <c r="I1134" s="2" t="n">
        <v>1</v>
      </c>
      <c r="J1134" s="4" t="n">
        <f aca="false">IFERROR(E1134*I1134/D1134,"")</f>
        <v>109.240828958126</v>
      </c>
      <c r="K1134" s="5" t="n">
        <f aca="false">IFERROR((J1134-G1134)/G1134,"")</f>
        <v>0.00220943998281101</v>
      </c>
      <c r="L1134" s="2" t="str">
        <f aca="false">IF(K1134="","",IF(ABS(K1134)&gt;0.05,"CHECK","OK"))</f>
        <v>OK</v>
      </c>
    </row>
    <row r="1135" customFormat="false" ht="15" hidden="false" customHeight="false" outlineLevel="0" collapsed="false">
      <c r="A1135" s="2" t="s">
        <v>73</v>
      </c>
      <c r="B1135" s="2" t="n">
        <v>2021</v>
      </c>
      <c r="C1135" s="2" t="s">
        <v>94</v>
      </c>
      <c r="D1135" s="3" t="n">
        <v>147907</v>
      </c>
      <c r="E1135" s="3" t="n">
        <v>302323</v>
      </c>
      <c r="F1135" s="2" t="s">
        <v>95</v>
      </c>
      <c r="G1135" s="3" t="n">
        <v>348</v>
      </c>
      <c r="H1135" s="2" t="s">
        <v>15</v>
      </c>
      <c r="I1135" s="2" t="n">
        <v>170</v>
      </c>
      <c r="J1135" s="4" t="n">
        <f aca="false">IFERROR(E1135*I1135/D1135,"")</f>
        <v>347.48125511301</v>
      </c>
      <c r="K1135" s="5" t="n">
        <f aca="false">IFERROR((J1135-G1135)/G1135,"")</f>
        <v>-0.00149064622698217</v>
      </c>
      <c r="L1135" s="2" t="str">
        <f aca="false">IF(K1135="","",IF(ABS(K1135)&gt;0.05,"CHECK","OK"))</f>
        <v>OK</v>
      </c>
    </row>
    <row r="1136" customFormat="false" ht="15" hidden="false" customHeight="false" outlineLevel="0" collapsed="false">
      <c r="A1136" s="2" t="s">
        <v>74</v>
      </c>
      <c r="B1136" s="2" t="n">
        <v>2022</v>
      </c>
      <c r="C1136" s="2" t="s">
        <v>92</v>
      </c>
      <c r="D1136" s="3" t="n">
        <v>158977</v>
      </c>
      <c r="E1136" s="3" t="n">
        <v>17658090</v>
      </c>
      <c r="F1136" s="2" t="s">
        <v>93</v>
      </c>
      <c r="G1136" s="3" t="n">
        <v>111</v>
      </c>
      <c r="H1136" s="2" t="s">
        <v>96</v>
      </c>
      <c r="I1136" s="2" t="n">
        <v>1</v>
      </c>
      <c r="J1136" s="4" t="n">
        <f aca="false">IFERROR(E1136*I1136/D1136,"")</f>
        <v>111.073237009127</v>
      </c>
      <c r="K1136" s="5" t="n">
        <f aca="false">IFERROR((J1136-G1136)/G1136,"")</f>
        <v>0.000659792875019029</v>
      </c>
      <c r="L1136" s="2" t="str">
        <f aca="false">IF(K1136="","",IF(ABS(K1136)&gt;0.05,"CHECK","OK"))</f>
        <v>OK</v>
      </c>
    </row>
    <row r="1137" customFormat="false" ht="15" hidden="false" customHeight="false" outlineLevel="0" collapsed="false">
      <c r="A1137" s="2" t="s">
        <v>74</v>
      </c>
      <c r="B1137" s="2" t="n">
        <v>2022</v>
      </c>
      <c r="C1137" s="2" t="s">
        <v>94</v>
      </c>
      <c r="D1137" s="3" t="n">
        <v>173270</v>
      </c>
      <c r="E1137" s="3" t="n">
        <v>319248</v>
      </c>
      <c r="F1137" s="2" t="s">
        <v>95</v>
      </c>
      <c r="G1137" s="3" t="n">
        <v>313</v>
      </c>
      <c r="H1137" s="2" t="s">
        <v>15</v>
      </c>
      <c r="I1137" s="2" t="n">
        <v>170</v>
      </c>
      <c r="J1137" s="4" t="n">
        <f aca="false">IFERROR(E1137*I1137/D1137,"")</f>
        <v>313.223062272754</v>
      </c>
      <c r="K1137" s="5" t="n">
        <f aca="false">IFERROR((J1137-G1137)/G1137,"")</f>
        <v>0.000712659018381819</v>
      </c>
      <c r="L1137" s="2" t="str">
        <f aca="false">IF(K1137="","",IF(ABS(K1137)&gt;0.05,"CHECK","OK"))</f>
        <v>OK</v>
      </c>
    </row>
    <row r="1138" customFormat="false" ht="15" hidden="false" customHeight="false" outlineLevel="0" collapsed="false">
      <c r="A1138" s="2" t="s">
        <v>75</v>
      </c>
      <c r="B1138" s="2" t="n">
        <v>2023</v>
      </c>
      <c r="C1138" s="2" t="s">
        <v>92</v>
      </c>
      <c r="D1138" s="3" t="n">
        <v>151687</v>
      </c>
      <c r="E1138" s="3" t="n">
        <v>15989746</v>
      </c>
      <c r="F1138" s="2" t="s">
        <v>93</v>
      </c>
      <c r="G1138" s="3" t="n">
        <v>105</v>
      </c>
      <c r="H1138" s="2" t="s">
        <v>96</v>
      </c>
      <c r="I1138" s="2" t="n">
        <v>1</v>
      </c>
      <c r="J1138" s="4" t="n">
        <f aca="false">IFERROR(E1138*I1138/D1138,"")</f>
        <v>105.412764442569</v>
      </c>
      <c r="K1138" s="5" t="n">
        <f aca="false">IFERROR((J1138-G1138)/G1138,"")</f>
        <v>0.00393108992923087</v>
      </c>
      <c r="L1138" s="2" t="str">
        <f aca="false">IF(K1138="","",IF(ABS(K1138)&gt;0.05,"CHECK","OK"))</f>
        <v>OK</v>
      </c>
    </row>
    <row r="1139" customFormat="false" ht="15" hidden="false" customHeight="false" outlineLevel="0" collapsed="false">
      <c r="A1139" s="2" t="s">
        <v>75</v>
      </c>
      <c r="B1139" s="2" t="n">
        <v>2023</v>
      </c>
      <c r="C1139" s="2" t="s">
        <v>94</v>
      </c>
      <c r="D1139" s="3" t="n">
        <v>129731</v>
      </c>
      <c r="E1139" s="3" t="n">
        <v>251999</v>
      </c>
      <c r="F1139" s="2" t="s">
        <v>95</v>
      </c>
      <c r="G1139" s="3" t="n">
        <v>330</v>
      </c>
      <c r="H1139" s="2" t="s">
        <v>15</v>
      </c>
      <c r="I1139" s="2" t="n">
        <v>170</v>
      </c>
      <c r="J1139" s="4" t="n">
        <f aca="false">IFERROR(E1139*I1139/D1139,"")</f>
        <v>330.2204561747</v>
      </c>
      <c r="K1139" s="5" t="n">
        <f aca="false">IFERROR((J1139-G1139)/G1139,"")</f>
        <v>0.000668049014242308</v>
      </c>
      <c r="L1139" s="2" t="str">
        <f aca="false">IF(K1139="","",IF(ABS(K1139)&gt;0.05,"CHECK","OK"))</f>
        <v>OK</v>
      </c>
    </row>
    <row r="1140" customFormat="false" ht="15" hidden="false" customHeight="false" outlineLevel="0" collapsed="false">
      <c r="A1140" s="2" t="s">
        <v>76</v>
      </c>
      <c r="B1140" s="2" t="n">
        <v>2024</v>
      </c>
      <c r="C1140" s="2" t="s">
        <v>92</v>
      </c>
      <c r="D1140" s="3" t="n">
        <v>130886</v>
      </c>
      <c r="E1140" s="3" t="n">
        <v>13337683</v>
      </c>
      <c r="F1140" s="2" t="s">
        <v>93</v>
      </c>
      <c r="G1140" s="3" t="n">
        <v>102</v>
      </c>
      <c r="H1140" s="2" t="s">
        <v>96</v>
      </c>
      <c r="I1140" s="2" t="n">
        <v>1</v>
      </c>
      <c r="J1140" s="4" t="n">
        <f aca="false">IFERROR(E1140*I1140/D1140,"")</f>
        <v>101.903053038522</v>
      </c>
      <c r="K1140" s="5" t="n">
        <f aca="false">IFERROR((J1140-G1140)/G1140,"")</f>
        <v>-0.00095046040664633</v>
      </c>
      <c r="L1140" s="2" t="str">
        <f aca="false">IF(K1140="","",IF(ABS(K1140)&gt;0.05,"CHECK","OK"))</f>
        <v>OK</v>
      </c>
    </row>
    <row r="1141" customFormat="false" ht="15" hidden="false" customHeight="false" outlineLevel="0" collapsed="false">
      <c r="A1141" s="2" t="s">
        <v>76</v>
      </c>
      <c r="B1141" s="2" t="n">
        <v>2024</v>
      </c>
      <c r="C1141" s="2" t="s">
        <v>94</v>
      </c>
      <c r="D1141" s="3" t="n">
        <v>102359</v>
      </c>
      <c r="E1141" s="3" t="n">
        <v>210527</v>
      </c>
      <c r="F1141" s="2" t="s">
        <v>95</v>
      </c>
      <c r="G1141" s="3" t="n">
        <v>350</v>
      </c>
      <c r="H1141" s="2" t="s">
        <v>15</v>
      </c>
      <c r="I1141" s="2" t="n">
        <v>170</v>
      </c>
      <c r="J1141" s="4" t="n">
        <f aca="false">IFERROR(E1141*I1141/D1141,"")</f>
        <v>349.647710509091</v>
      </c>
      <c r="K1141" s="5" t="n">
        <f aca="false">IFERROR((J1141-G1141)/G1141,"")</f>
        <v>-0.00100654140259849</v>
      </c>
      <c r="L1141" s="2" t="str">
        <f aca="false">IF(K1141="","",IF(ABS(K1141)&gt;0.05,"CHECK","OK"))</f>
        <v>OK</v>
      </c>
    </row>
  </sheetData>
  <autoFilter ref="A1:L114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14" min="2" style="0" width="14"/>
  </cols>
  <sheetData>
    <row r="1" customFormat="false" ht="31.5" hidden="false" customHeight="true" outlineLevel="0" collapsed="false">
      <c r="A1" s="1" t="s">
        <v>0</v>
      </c>
      <c r="B1" s="1" t="s">
        <v>16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82</v>
      </c>
      <c r="H1" s="1" t="s">
        <v>84</v>
      </c>
      <c r="I1" s="1" t="s">
        <v>85</v>
      </c>
      <c r="J1" s="1" t="s">
        <v>86</v>
      </c>
      <c r="K1" s="1" t="s">
        <v>88</v>
      </c>
      <c r="L1" s="1" t="s">
        <v>89</v>
      </c>
      <c r="M1" s="1" t="s">
        <v>94</v>
      </c>
      <c r="N1" s="1" t="s">
        <v>92</v>
      </c>
    </row>
    <row r="2" customFormat="false" ht="15" hidden="false" customHeight="false" outlineLevel="0" collapsed="false">
      <c r="A2" s="2" t="s">
        <v>66</v>
      </c>
      <c r="B2" s="6" t="n">
        <f aca="false">SUMIFS(Data!$J$2:$J$1141,Data!$A$2:$A$1141,$A2,Data!$C$2:$C$1141,B$1)</f>
        <v>4428.67791537674</v>
      </c>
      <c r="C2" s="6" t="n">
        <f aca="false">SUMIFS(Data!$J$2:$J$1141,Data!$A$2:$A$1141,$A2,Data!$C$2:$C$1141,C$1)</f>
        <v>2093.31178044967</v>
      </c>
      <c r="D2" s="6" t="n">
        <f aca="false">SUMIFS(Data!$J$2:$J$1141,Data!$A$2:$A$1141,$A2,Data!$C$2:$C$1141,D$1)</f>
        <v>3077.04304429195</v>
      </c>
      <c r="E2" s="6" t="n">
        <f aca="false">SUMIFS(Data!$J$2:$J$1141,Data!$A$2:$A$1141,$A2,Data!$C$2:$C$1141,E$1)</f>
        <v>3348.09338670446</v>
      </c>
      <c r="F2" s="6" t="n">
        <f aca="false">SUMIFS(Data!$J$2:$J$1141,Data!$A$2:$A$1141,$A2,Data!$C$2:$C$1141,F$1)</f>
        <v>8224.05513865421</v>
      </c>
      <c r="G2" s="6" t="n">
        <f aca="false">SUMIFS(Data!$J$2:$J$1141,Data!$A$2:$A$1141,$A2,Data!$C$2:$C$1141,G$1)</f>
        <v>1256.40636008233</v>
      </c>
      <c r="H2" s="6" t="n">
        <f aca="false">SUMIFS(Data!$J$2:$J$1141,Data!$A$2:$A$1141,$A2,Data!$C$2:$C$1141,H$1)</f>
        <v>787.267872155985</v>
      </c>
      <c r="I2" s="6" t="n">
        <f aca="false">SUMIFS(Data!$J$2:$J$1141,Data!$A$2:$A$1141,$A2,Data!$C$2:$C$1141,I$1)</f>
        <v>960.171971898058</v>
      </c>
      <c r="J2" s="6" t="n">
        <f aca="false">SUMIFS(Data!$J$2:$J$1141,Data!$A$2:$A$1141,$A2,Data!$C$2:$C$1141,J$1)</f>
        <v>741.934783080967</v>
      </c>
      <c r="K2" s="6" t="n">
        <f aca="false">SUMIFS(Data!$J$2:$J$1141,Data!$A$2:$A$1141,$A2,Data!$C$2:$C$1141,K$1)</f>
        <v>2749.31206428262</v>
      </c>
      <c r="L2" s="6" t="n">
        <f aca="false">SUMIFS(Data!$J$2:$J$1141,Data!$A$2:$A$1141,$A2,Data!$C$2:$C$1141,L$1)</f>
        <v>696.553656486411</v>
      </c>
      <c r="M2" s="6" t="n">
        <f aca="false">SUMIFS(Data!$J$2:$J$1141,Data!$A$2:$A$1141,$A2,Data!$C$2:$C$1141,M$1)</f>
        <v>545.385365278827</v>
      </c>
      <c r="N2" s="6" t="n">
        <f aca="false">SUMIFS(Data!$J$2:$J$1141,Data!$A$2:$A$1141,$A2,Data!$C$2:$C$1141,N$1)</f>
        <v>106.789870222682</v>
      </c>
    </row>
    <row r="3" customFormat="false" ht="15" hidden="false" customHeight="false" outlineLevel="0" collapsed="false">
      <c r="A3" s="2" t="s">
        <v>67</v>
      </c>
      <c r="B3" s="6" t="n">
        <f aca="false">SUMIFS(Data!$J$2:$J$1141,Data!$A$2:$A$1141,$A3,Data!$C$2:$C$1141,B$1)</f>
        <v>3686.94968333357</v>
      </c>
      <c r="C3" s="6" t="n">
        <f aca="false">SUMIFS(Data!$J$2:$J$1141,Data!$A$2:$A$1141,$A3,Data!$C$2:$C$1141,C$1)</f>
        <v>1296.17650354104</v>
      </c>
      <c r="D3" s="6" t="n">
        <f aca="false">SUMIFS(Data!$J$2:$J$1141,Data!$A$2:$A$1141,$A3,Data!$C$2:$C$1141,D$1)</f>
        <v>2603.0112777584</v>
      </c>
      <c r="E3" s="6" t="n">
        <f aca="false">SUMIFS(Data!$J$2:$J$1141,Data!$A$2:$A$1141,$A3,Data!$C$2:$C$1141,E$1)</f>
        <v>3134.42090991932</v>
      </c>
      <c r="F3" s="6" t="n">
        <f aca="false">SUMIFS(Data!$J$2:$J$1141,Data!$A$2:$A$1141,$A3,Data!$C$2:$C$1141,F$1)</f>
        <v>7132.03816776694</v>
      </c>
      <c r="G3" s="6" t="n">
        <f aca="false">SUMIFS(Data!$J$2:$J$1141,Data!$A$2:$A$1141,$A3,Data!$C$2:$C$1141,G$1)</f>
        <v>1016.28620333181</v>
      </c>
      <c r="H3" s="6" t="n">
        <f aca="false">SUMIFS(Data!$J$2:$J$1141,Data!$A$2:$A$1141,$A3,Data!$C$2:$C$1141,H$1)</f>
        <v>562.070322640072</v>
      </c>
      <c r="I3" s="6" t="n">
        <f aca="false">SUMIFS(Data!$J$2:$J$1141,Data!$A$2:$A$1141,$A3,Data!$C$2:$C$1141,I$1)</f>
        <v>699.344106319556</v>
      </c>
      <c r="J3" s="6" t="n">
        <f aca="false">SUMIFS(Data!$J$2:$J$1141,Data!$A$2:$A$1141,$A3,Data!$C$2:$C$1141,J$1)</f>
        <v>587.776504222495</v>
      </c>
      <c r="K3" s="6" t="n">
        <f aca="false">SUMIFS(Data!$J$2:$J$1141,Data!$A$2:$A$1141,$A3,Data!$C$2:$C$1141,K$1)</f>
        <v>2574.29798823465</v>
      </c>
      <c r="L3" s="6" t="n">
        <f aca="false">SUMIFS(Data!$J$2:$J$1141,Data!$A$2:$A$1141,$A3,Data!$C$2:$C$1141,L$1)</f>
        <v>638.220657583067</v>
      </c>
      <c r="M3" s="6" t="n">
        <f aca="false">SUMIFS(Data!$J$2:$J$1141,Data!$A$2:$A$1141,$A3,Data!$C$2:$C$1141,M$1)</f>
        <v>374.995982091608</v>
      </c>
      <c r="N3" s="6" t="n">
        <f aca="false">SUMIFS(Data!$J$2:$J$1141,Data!$A$2:$A$1141,$A3,Data!$C$2:$C$1141,N$1)</f>
        <v>101.116350605695</v>
      </c>
    </row>
    <row r="4" customFormat="false" ht="15" hidden="false" customHeight="false" outlineLevel="0" collapsed="false">
      <c r="A4" s="2" t="s">
        <v>68</v>
      </c>
      <c r="B4" s="6" t="n">
        <f aca="false">SUMIFS(Data!$J$2:$J$1141,Data!$A$2:$A$1141,$A4,Data!$C$2:$C$1141,B$1)</f>
        <v>2463.27419306771</v>
      </c>
      <c r="C4" s="6" t="n">
        <f aca="false">SUMIFS(Data!$J$2:$J$1141,Data!$A$2:$A$1141,$A4,Data!$C$2:$C$1141,C$1)</f>
        <v>573.253201485892</v>
      </c>
      <c r="D4" s="6" t="n">
        <f aca="false">SUMIFS(Data!$J$2:$J$1141,Data!$A$2:$A$1141,$A4,Data!$C$2:$C$1141,D$1)</f>
        <v>2058.46234372798</v>
      </c>
      <c r="E4" s="6" t="n">
        <f aca="false">SUMIFS(Data!$J$2:$J$1141,Data!$A$2:$A$1141,$A4,Data!$C$2:$C$1141,E$1)</f>
        <v>1864.81861738535</v>
      </c>
      <c r="F4" s="6" t="n">
        <f aca="false">SUMIFS(Data!$J$2:$J$1141,Data!$A$2:$A$1141,$A4,Data!$C$2:$C$1141,F$1)</f>
        <v>3026.30543122877</v>
      </c>
      <c r="G4" s="6" t="n">
        <f aca="false">SUMIFS(Data!$J$2:$J$1141,Data!$A$2:$A$1141,$A4,Data!$C$2:$C$1141,G$1)</f>
        <v>655.109618104668</v>
      </c>
      <c r="H4" s="6" t="n">
        <f aca="false">SUMIFS(Data!$J$2:$J$1141,Data!$A$2:$A$1141,$A4,Data!$C$2:$C$1141,H$1)</f>
        <v>337.926422210708</v>
      </c>
      <c r="I4" s="6" t="n">
        <f aca="false">SUMIFS(Data!$J$2:$J$1141,Data!$A$2:$A$1141,$A4,Data!$C$2:$C$1141,I$1)</f>
        <v>429.541351004225</v>
      </c>
      <c r="J4" s="6" t="n">
        <f aca="false">SUMIFS(Data!$J$2:$J$1141,Data!$A$2:$A$1141,$A4,Data!$C$2:$C$1141,J$1)</f>
        <v>320.216569089684</v>
      </c>
      <c r="K4" s="6" t="n">
        <f aca="false">SUMIFS(Data!$J$2:$J$1141,Data!$A$2:$A$1141,$A4,Data!$C$2:$C$1141,K$1)</f>
        <v>2084.52748435332</v>
      </c>
      <c r="L4" s="6" t="n">
        <f aca="false">SUMIFS(Data!$J$2:$J$1141,Data!$A$2:$A$1141,$A4,Data!$C$2:$C$1141,L$1)</f>
        <v>383.868796712833</v>
      </c>
      <c r="M4" s="6" t="n">
        <f aca="false">SUMIFS(Data!$J$2:$J$1141,Data!$A$2:$A$1141,$A4,Data!$C$2:$C$1141,M$1)</f>
        <v>231.141548198177</v>
      </c>
      <c r="N4" s="6" t="n">
        <f aca="false">SUMIFS(Data!$J$2:$J$1141,Data!$A$2:$A$1141,$A4,Data!$C$2:$C$1141,N$1)</f>
        <v>86.994323336174</v>
      </c>
    </row>
    <row r="5" customFormat="false" ht="15" hidden="false" customHeight="false" outlineLevel="0" collapsed="false">
      <c r="A5" s="2" t="s">
        <v>69</v>
      </c>
      <c r="B5" s="6" t="n">
        <f aca="false">SUMIFS(Data!$J$2:$J$1141,Data!$A$2:$A$1141,$A5,Data!$C$2:$C$1141,B$1)</f>
        <v>3629.7124148199</v>
      </c>
      <c r="C5" s="6" t="n">
        <f aca="false">SUMIFS(Data!$J$2:$J$1141,Data!$A$2:$A$1141,$A5,Data!$C$2:$C$1141,C$1)</f>
        <v>1116.72622041976</v>
      </c>
      <c r="D5" s="6" t="n">
        <f aca="false">SUMIFS(Data!$J$2:$J$1141,Data!$A$2:$A$1141,$A5,Data!$C$2:$C$1141,D$1)</f>
        <v>2277.49131352235</v>
      </c>
      <c r="E5" s="6" t="n">
        <f aca="false">SUMIFS(Data!$J$2:$J$1141,Data!$A$2:$A$1141,$A5,Data!$C$2:$C$1141,E$1)</f>
        <v>3714.2625963728</v>
      </c>
      <c r="F5" s="6" t="n">
        <f aca="false">SUMIFS(Data!$J$2:$J$1141,Data!$A$2:$A$1141,$A5,Data!$C$2:$C$1141,F$1)</f>
        <v>7986.0963028245</v>
      </c>
      <c r="G5" s="6" t="n">
        <f aca="false">SUMIFS(Data!$J$2:$J$1141,Data!$A$2:$A$1141,$A5,Data!$C$2:$C$1141,G$1)</f>
        <v>1092.67460285215</v>
      </c>
      <c r="H5" s="6" t="n">
        <f aca="false">SUMIFS(Data!$J$2:$J$1141,Data!$A$2:$A$1141,$A5,Data!$C$2:$C$1141,H$1)</f>
        <v>433.358990403517</v>
      </c>
      <c r="I5" s="6" t="n">
        <f aca="false">SUMIFS(Data!$J$2:$J$1141,Data!$A$2:$A$1141,$A5,Data!$C$2:$C$1141,I$1)</f>
        <v>707.575316889185</v>
      </c>
      <c r="J5" s="6" t="n">
        <f aca="false">SUMIFS(Data!$J$2:$J$1141,Data!$A$2:$A$1141,$A5,Data!$C$2:$C$1141,J$1)</f>
        <v>780.201585030624</v>
      </c>
      <c r="K5" s="6" t="n">
        <f aca="false">SUMIFS(Data!$J$2:$J$1141,Data!$A$2:$A$1141,$A5,Data!$C$2:$C$1141,K$1)</f>
        <v>3077.58009726533</v>
      </c>
      <c r="L5" s="6" t="n">
        <f aca="false">SUMIFS(Data!$J$2:$J$1141,Data!$A$2:$A$1141,$A5,Data!$C$2:$C$1141,L$1)</f>
        <v>554.422586696167</v>
      </c>
      <c r="M5" s="6" t="n">
        <f aca="false">SUMIFS(Data!$J$2:$J$1141,Data!$A$2:$A$1141,$A5,Data!$C$2:$C$1141,M$1)</f>
        <v>410.49958432206</v>
      </c>
      <c r="N5" s="6" t="n">
        <f aca="false">SUMIFS(Data!$J$2:$J$1141,Data!$A$2:$A$1141,$A5,Data!$C$2:$C$1141,N$1)</f>
        <v>99.8159971138628</v>
      </c>
    </row>
    <row r="6" customFormat="false" ht="15" hidden="false" customHeight="false" outlineLevel="0" collapsed="false">
      <c r="A6" s="2" t="s">
        <v>70</v>
      </c>
      <c r="B6" s="6" t="n">
        <f aca="false">SUMIFS(Data!$J$2:$J$1141,Data!$A$2:$A$1141,$A6,Data!$C$2:$C$1141,B$1)</f>
        <v>3562.23475176687</v>
      </c>
      <c r="C6" s="6" t="n">
        <f aca="false">SUMIFS(Data!$J$2:$J$1141,Data!$A$2:$A$1141,$A6,Data!$C$2:$C$1141,C$1)</f>
        <v>1203.81140466823</v>
      </c>
      <c r="D6" s="6" t="n">
        <f aca="false">SUMIFS(Data!$J$2:$J$1141,Data!$A$2:$A$1141,$A6,Data!$C$2:$C$1141,D$1)</f>
        <v>2517.10677872104</v>
      </c>
      <c r="E6" s="6" t="n">
        <f aca="false">SUMIFS(Data!$J$2:$J$1141,Data!$A$2:$A$1141,$A6,Data!$C$2:$C$1141,E$1)</f>
        <v>3256.96945020549</v>
      </c>
      <c r="F6" s="6" t="n">
        <f aca="false">SUMIFS(Data!$J$2:$J$1141,Data!$A$2:$A$1141,$A6,Data!$C$2:$C$1141,F$1)</f>
        <v>7256.58598778296</v>
      </c>
      <c r="G6" s="6" t="n">
        <f aca="false">SUMIFS(Data!$J$2:$J$1141,Data!$A$2:$A$1141,$A6,Data!$C$2:$C$1141,G$1)</f>
        <v>1247.72238466929</v>
      </c>
      <c r="H6" s="6" t="n">
        <f aca="false">SUMIFS(Data!$J$2:$J$1141,Data!$A$2:$A$1141,$A6,Data!$C$2:$C$1141,H$1)</f>
        <v>451.285242898578</v>
      </c>
      <c r="I6" s="6" t="n">
        <f aca="false">SUMIFS(Data!$J$2:$J$1141,Data!$A$2:$A$1141,$A6,Data!$C$2:$C$1141,I$1)</f>
        <v>622.048011900928</v>
      </c>
      <c r="J6" s="6" t="n">
        <f aca="false">SUMIFS(Data!$J$2:$J$1141,Data!$A$2:$A$1141,$A6,Data!$C$2:$C$1141,J$1)</f>
        <v>691.128813603088</v>
      </c>
      <c r="K6" s="6" t="n">
        <f aca="false">SUMIFS(Data!$J$2:$J$1141,Data!$A$2:$A$1141,$A6,Data!$C$2:$C$1141,K$1)</f>
        <v>2716.10605225115</v>
      </c>
      <c r="L6" s="6" t="n">
        <f aca="false">SUMIFS(Data!$J$2:$J$1141,Data!$A$2:$A$1141,$A6,Data!$C$2:$C$1141,L$1)</f>
        <v>547.455727415378</v>
      </c>
      <c r="M6" s="6" t="n">
        <f aca="false">SUMIFS(Data!$J$2:$J$1141,Data!$A$2:$A$1141,$A6,Data!$C$2:$C$1141,M$1)</f>
        <v>403.580687958138</v>
      </c>
      <c r="N6" s="6" t="n">
        <f aca="false">SUMIFS(Data!$J$2:$J$1141,Data!$A$2:$A$1141,$A6,Data!$C$2:$C$1141,N$1)</f>
        <v>102.733167082294</v>
      </c>
    </row>
    <row r="7" customFormat="false" ht="15" hidden="false" customHeight="false" outlineLevel="0" collapsed="false">
      <c r="A7" s="2" t="s">
        <v>71</v>
      </c>
      <c r="B7" s="6" t="n">
        <f aca="false">SUMIFS(Data!$J$2:$J$1141,Data!$A$2:$A$1141,$A7,Data!$C$2:$C$1141,B$1)</f>
        <v>3808.92017277907</v>
      </c>
      <c r="C7" s="6" t="n">
        <f aca="false">SUMIFS(Data!$J$2:$J$1141,Data!$A$2:$A$1141,$A7,Data!$C$2:$C$1141,C$1)</f>
        <v>1155.15777777778</v>
      </c>
      <c r="D7" s="6" t="n">
        <f aca="false">SUMIFS(Data!$J$2:$J$1141,Data!$A$2:$A$1141,$A7,Data!$C$2:$C$1141,D$1)</f>
        <v>2742.29538315652</v>
      </c>
      <c r="E7" s="6" t="n">
        <f aca="false">SUMIFS(Data!$J$2:$J$1141,Data!$A$2:$A$1141,$A7,Data!$C$2:$C$1141,E$1)</f>
        <v>3246.48412088237</v>
      </c>
      <c r="F7" s="6" t="n">
        <f aca="false">SUMIFS(Data!$J$2:$J$1141,Data!$A$2:$A$1141,$A7,Data!$C$2:$C$1141,F$1)</f>
        <v>7838.79303883801</v>
      </c>
      <c r="G7" s="6" t="n">
        <f aca="false">SUMIFS(Data!$J$2:$J$1141,Data!$A$2:$A$1141,$A7,Data!$C$2:$C$1141,G$1)</f>
        <v>1273.16209881858</v>
      </c>
      <c r="H7" s="6" t="n">
        <f aca="false">SUMIFS(Data!$J$2:$J$1141,Data!$A$2:$A$1141,$A7,Data!$C$2:$C$1141,H$1)</f>
        <v>444.427642522305</v>
      </c>
      <c r="I7" s="6" t="n">
        <f aca="false">SUMIFS(Data!$J$2:$J$1141,Data!$A$2:$A$1141,$A7,Data!$C$2:$C$1141,I$1)</f>
        <v>783.135918761087</v>
      </c>
      <c r="J7" s="6" t="n">
        <f aca="false">SUMIFS(Data!$J$2:$J$1141,Data!$A$2:$A$1141,$A7,Data!$C$2:$C$1141,J$1)</f>
        <v>776.341420223127</v>
      </c>
      <c r="K7" s="6" t="n">
        <f aca="false">SUMIFS(Data!$J$2:$J$1141,Data!$A$2:$A$1141,$A7,Data!$C$2:$C$1141,K$1)</f>
        <v>2979.73130857972</v>
      </c>
      <c r="L7" s="6" t="n">
        <f aca="false">SUMIFS(Data!$J$2:$J$1141,Data!$A$2:$A$1141,$A7,Data!$C$2:$C$1141,L$1)</f>
        <v>688.087064770455</v>
      </c>
      <c r="M7" s="6" t="n">
        <f aca="false">SUMIFS(Data!$J$2:$J$1141,Data!$A$2:$A$1141,$A7,Data!$C$2:$C$1141,M$1)</f>
        <v>419.319225005605</v>
      </c>
      <c r="N7" s="6" t="n">
        <f aca="false">SUMIFS(Data!$J$2:$J$1141,Data!$A$2:$A$1141,$A7,Data!$C$2:$C$1141,N$1)</f>
        <v>107.610188480798</v>
      </c>
    </row>
    <row r="8" customFormat="false" ht="15" hidden="false" customHeight="false" outlineLevel="0" collapsed="false">
      <c r="A8" s="2" t="s">
        <v>72</v>
      </c>
      <c r="B8" s="6" t="n">
        <f aca="false">SUMIFS(Data!$J$2:$J$1141,Data!$A$2:$A$1141,$A8,Data!$C$2:$C$1141,B$1)</f>
        <v>3379.62537796398</v>
      </c>
      <c r="C8" s="6" t="n">
        <f aca="false">SUMIFS(Data!$J$2:$J$1141,Data!$A$2:$A$1141,$A8,Data!$C$2:$C$1141,C$1)</f>
        <v>1053.77813405685</v>
      </c>
      <c r="D8" s="6" t="n">
        <f aca="false">SUMIFS(Data!$J$2:$J$1141,Data!$A$2:$A$1141,$A8,Data!$C$2:$C$1141,D$1)</f>
        <v>2357.12378352718</v>
      </c>
      <c r="E8" s="6" t="n">
        <f aca="false">SUMIFS(Data!$J$2:$J$1141,Data!$A$2:$A$1141,$A8,Data!$C$2:$C$1141,E$1)</f>
        <v>3480.83069019163</v>
      </c>
      <c r="F8" s="6" t="n">
        <f aca="false">SUMIFS(Data!$J$2:$J$1141,Data!$A$2:$A$1141,$A8,Data!$C$2:$C$1141,F$1)</f>
        <v>6408.64795982109</v>
      </c>
      <c r="G8" s="6" t="n">
        <f aca="false">SUMIFS(Data!$J$2:$J$1141,Data!$A$2:$A$1141,$A8,Data!$C$2:$C$1141,G$1)</f>
        <v>1048.6001056524</v>
      </c>
      <c r="H8" s="6" t="n">
        <f aca="false">SUMIFS(Data!$J$2:$J$1141,Data!$A$2:$A$1141,$A8,Data!$C$2:$C$1141,H$1)</f>
        <v>367.067557720215</v>
      </c>
      <c r="I8" s="6" t="n">
        <f aca="false">SUMIFS(Data!$J$2:$J$1141,Data!$A$2:$A$1141,$A8,Data!$C$2:$C$1141,I$1)</f>
        <v>559.451113387503</v>
      </c>
      <c r="J8" s="6" t="n">
        <f aca="false">SUMIFS(Data!$J$2:$J$1141,Data!$A$2:$A$1141,$A8,Data!$C$2:$C$1141,J$1)</f>
        <v>745.449509338398</v>
      </c>
      <c r="K8" s="6" t="n">
        <f aca="false">SUMIFS(Data!$J$2:$J$1141,Data!$A$2:$A$1141,$A8,Data!$C$2:$C$1141,K$1)</f>
        <v>2502.04509726742</v>
      </c>
      <c r="L8" s="6" t="n">
        <f aca="false">SUMIFS(Data!$J$2:$J$1141,Data!$A$2:$A$1141,$A8,Data!$C$2:$C$1141,L$1)</f>
        <v>653.854914018904</v>
      </c>
      <c r="M8" s="6" t="n">
        <f aca="false">SUMIFS(Data!$J$2:$J$1141,Data!$A$2:$A$1141,$A8,Data!$C$2:$C$1141,M$1)</f>
        <v>368.569503444829</v>
      </c>
      <c r="N8" s="6" t="n">
        <f aca="false">SUMIFS(Data!$J$2:$J$1141,Data!$A$2:$A$1141,$A8,Data!$C$2:$C$1141,N$1)</f>
        <v>104.030000939732</v>
      </c>
    </row>
    <row r="9" customFormat="false" ht="15" hidden="false" customHeight="false" outlineLevel="0" collapsed="false">
      <c r="A9" s="2" t="s">
        <v>73</v>
      </c>
      <c r="B9" s="6" t="n">
        <f aca="false">SUMIFS(Data!$J$2:$J$1141,Data!$A$2:$A$1141,$A9,Data!$C$2:$C$1141,B$1)</f>
        <v>3565.81587529524</v>
      </c>
      <c r="C9" s="6" t="n">
        <f aca="false">SUMIFS(Data!$J$2:$J$1141,Data!$A$2:$A$1141,$A9,Data!$C$2:$C$1141,C$1)</f>
        <v>911.601291969498</v>
      </c>
      <c r="D9" s="6" t="n">
        <f aca="false">SUMIFS(Data!$J$2:$J$1141,Data!$A$2:$A$1141,$A9,Data!$C$2:$C$1141,D$1)</f>
        <v>2437.32070184802</v>
      </c>
      <c r="E9" s="6" t="n">
        <f aca="false">SUMIFS(Data!$J$2:$J$1141,Data!$A$2:$A$1141,$A9,Data!$C$2:$C$1141,E$1)</f>
        <v>3056.07652416906</v>
      </c>
      <c r="F9" s="6" t="n">
        <f aca="false">SUMIFS(Data!$J$2:$J$1141,Data!$A$2:$A$1141,$A9,Data!$C$2:$C$1141,F$1)</f>
        <v>7065.52005119027</v>
      </c>
      <c r="G9" s="6" t="n">
        <f aca="false">SUMIFS(Data!$J$2:$J$1141,Data!$A$2:$A$1141,$A9,Data!$C$2:$C$1141,G$1)</f>
        <v>935.50523657739</v>
      </c>
      <c r="H9" s="6" t="n">
        <f aca="false">SUMIFS(Data!$J$2:$J$1141,Data!$A$2:$A$1141,$A9,Data!$C$2:$C$1141,H$1)</f>
        <v>378.6384704872</v>
      </c>
      <c r="I9" s="6" t="n">
        <f aca="false">SUMIFS(Data!$J$2:$J$1141,Data!$A$2:$A$1141,$A9,Data!$C$2:$C$1141,I$1)</f>
        <v>659.79614337245</v>
      </c>
      <c r="J9" s="6" t="n">
        <f aca="false">SUMIFS(Data!$J$2:$J$1141,Data!$A$2:$A$1141,$A9,Data!$C$2:$C$1141,J$1)</f>
        <v>682.628792848317</v>
      </c>
      <c r="K9" s="6" t="n">
        <f aca="false">SUMIFS(Data!$J$2:$J$1141,Data!$A$2:$A$1141,$A9,Data!$C$2:$C$1141,K$1)</f>
        <v>2812.09401743829</v>
      </c>
      <c r="L9" s="6" t="n">
        <f aca="false">SUMIFS(Data!$J$2:$J$1141,Data!$A$2:$A$1141,$A9,Data!$C$2:$C$1141,L$1)</f>
        <v>588.766932816483</v>
      </c>
      <c r="M9" s="6" t="n">
        <f aca="false">SUMIFS(Data!$J$2:$J$1141,Data!$A$2:$A$1141,$A9,Data!$C$2:$C$1141,M$1)</f>
        <v>347.48125511301</v>
      </c>
      <c r="N9" s="6" t="n">
        <f aca="false">SUMIFS(Data!$J$2:$J$1141,Data!$A$2:$A$1141,$A9,Data!$C$2:$C$1141,N$1)</f>
        <v>109.240828958126</v>
      </c>
    </row>
    <row r="10" customFormat="false" ht="15" hidden="false" customHeight="false" outlineLevel="0" collapsed="false">
      <c r="A10" s="2" t="s">
        <v>74</v>
      </c>
      <c r="B10" s="6" t="n">
        <f aca="false">SUMIFS(Data!$J$2:$J$1141,Data!$A$2:$A$1141,$A10,Data!$C$2:$C$1141,B$1)</f>
        <v>3500.19639649488</v>
      </c>
      <c r="C10" s="6" t="n">
        <f aca="false">SUMIFS(Data!$J$2:$J$1141,Data!$A$2:$A$1141,$A10,Data!$C$2:$C$1141,C$1)</f>
        <v>812.643853682238</v>
      </c>
      <c r="D10" s="6" t="n">
        <f aca="false">SUMIFS(Data!$J$2:$J$1141,Data!$A$2:$A$1141,$A10,Data!$C$2:$C$1141,D$1)</f>
        <v>2514.08356990774</v>
      </c>
      <c r="E10" s="6" t="n">
        <f aca="false">SUMIFS(Data!$J$2:$J$1141,Data!$A$2:$A$1141,$A10,Data!$C$2:$C$1141,E$1)</f>
        <v>2967.71551724138</v>
      </c>
      <c r="F10" s="6" t="n">
        <f aca="false">SUMIFS(Data!$J$2:$J$1141,Data!$A$2:$A$1141,$A10,Data!$C$2:$C$1141,F$1)</f>
        <v>7007.11973958346</v>
      </c>
      <c r="G10" s="6" t="n">
        <f aca="false">SUMIFS(Data!$J$2:$J$1141,Data!$A$2:$A$1141,$A10,Data!$C$2:$C$1141,G$1)</f>
        <v>1038.47300924545</v>
      </c>
      <c r="H10" s="6" t="n">
        <f aca="false">SUMIFS(Data!$J$2:$J$1141,Data!$A$2:$A$1141,$A10,Data!$C$2:$C$1141,H$1)</f>
        <v>360.9738503156</v>
      </c>
      <c r="I10" s="6" t="n">
        <f aca="false">SUMIFS(Data!$J$2:$J$1141,Data!$A$2:$A$1141,$A10,Data!$C$2:$C$1141,I$1)</f>
        <v>675.397938185926</v>
      </c>
      <c r="J10" s="6" t="n">
        <f aca="false">SUMIFS(Data!$J$2:$J$1141,Data!$A$2:$A$1141,$A10,Data!$C$2:$C$1141,J$1)</f>
        <v>771.781972452738</v>
      </c>
      <c r="K10" s="6" t="n">
        <f aca="false">SUMIFS(Data!$J$2:$J$1141,Data!$A$2:$A$1141,$A10,Data!$C$2:$C$1141,K$1)</f>
        <v>2598.09618211026</v>
      </c>
      <c r="L10" s="6" t="n">
        <f aca="false">SUMIFS(Data!$J$2:$J$1141,Data!$A$2:$A$1141,$A10,Data!$C$2:$C$1141,L$1)</f>
        <v>523.687178844467</v>
      </c>
      <c r="M10" s="6" t="n">
        <f aca="false">SUMIFS(Data!$J$2:$J$1141,Data!$A$2:$A$1141,$A10,Data!$C$2:$C$1141,M$1)</f>
        <v>313.223062272754</v>
      </c>
      <c r="N10" s="6" t="n">
        <f aca="false">SUMIFS(Data!$J$2:$J$1141,Data!$A$2:$A$1141,$A10,Data!$C$2:$C$1141,N$1)</f>
        <v>111.073237009127</v>
      </c>
    </row>
    <row r="11" customFormat="false" ht="15" hidden="false" customHeight="false" outlineLevel="0" collapsed="false">
      <c r="A11" s="2" t="s">
        <v>75</v>
      </c>
      <c r="B11" s="6" t="n">
        <f aca="false">SUMIFS(Data!$J$2:$J$1141,Data!$A$2:$A$1141,$A11,Data!$C$2:$C$1141,B$1)</f>
        <v>3353.70594538627</v>
      </c>
      <c r="C11" s="6" t="n">
        <f aca="false">SUMIFS(Data!$J$2:$J$1141,Data!$A$2:$A$1141,$A11,Data!$C$2:$C$1141,C$1)</f>
        <v>808.953800668051</v>
      </c>
      <c r="D11" s="6" t="n">
        <f aca="false">SUMIFS(Data!$J$2:$J$1141,Data!$A$2:$A$1141,$A11,Data!$C$2:$C$1141,D$1)</f>
        <v>2447.99197626311</v>
      </c>
      <c r="E11" s="6" t="n">
        <f aca="false">SUMIFS(Data!$J$2:$J$1141,Data!$A$2:$A$1141,$A11,Data!$C$2:$C$1141,E$1)</f>
        <v>3432.32871320532</v>
      </c>
      <c r="F11" s="6" t="n">
        <f aca="false">SUMIFS(Data!$J$2:$J$1141,Data!$A$2:$A$1141,$A11,Data!$C$2:$C$1141,F$1)</f>
        <v>6239.07879107826</v>
      </c>
      <c r="G11" s="6" t="n">
        <f aca="false">SUMIFS(Data!$J$2:$J$1141,Data!$A$2:$A$1141,$A11,Data!$C$2:$C$1141,G$1)</f>
        <v>986.630947824978</v>
      </c>
      <c r="H11" s="6" t="n">
        <f aca="false">SUMIFS(Data!$J$2:$J$1141,Data!$A$2:$A$1141,$A11,Data!$C$2:$C$1141,H$1)</f>
        <v>330.979831615984</v>
      </c>
      <c r="I11" s="6" t="n">
        <f aca="false">SUMIFS(Data!$J$2:$J$1141,Data!$A$2:$A$1141,$A11,Data!$C$2:$C$1141,I$1)</f>
        <v>505.078652191921</v>
      </c>
      <c r="J11" s="6" t="n">
        <f aca="false">SUMIFS(Data!$J$2:$J$1141,Data!$A$2:$A$1141,$A11,Data!$C$2:$C$1141,J$1)</f>
        <v>660.403870087117</v>
      </c>
      <c r="K11" s="6" t="n">
        <f aca="false">SUMIFS(Data!$J$2:$J$1141,Data!$A$2:$A$1141,$A11,Data!$C$2:$C$1141,K$1)</f>
        <v>2697.63245449031</v>
      </c>
      <c r="L11" s="6" t="n">
        <f aca="false">SUMIFS(Data!$J$2:$J$1141,Data!$A$2:$A$1141,$A11,Data!$C$2:$C$1141,L$1)</f>
        <v>478.442142880778</v>
      </c>
      <c r="M11" s="6" t="n">
        <f aca="false">SUMIFS(Data!$J$2:$J$1141,Data!$A$2:$A$1141,$A11,Data!$C$2:$C$1141,M$1)</f>
        <v>330.2204561747</v>
      </c>
      <c r="N11" s="6" t="n">
        <f aca="false">SUMIFS(Data!$J$2:$J$1141,Data!$A$2:$A$1141,$A11,Data!$C$2:$C$1141,N$1)</f>
        <v>105.412764442569</v>
      </c>
    </row>
    <row r="12" customFormat="false" ht="15" hidden="false" customHeight="false" outlineLevel="0" collapsed="false">
      <c r="A12" s="2" t="s">
        <v>76</v>
      </c>
      <c r="B12" s="6" t="n">
        <f aca="false">SUMIFS(Data!$J$2:$J$1141,Data!$A$2:$A$1141,$A12,Data!$C$2:$C$1141,B$1)</f>
        <v>3287.5915013521</v>
      </c>
      <c r="C12" s="6" t="n">
        <f aca="false">SUMIFS(Data!$J$2:$J$1141,Data!$A$2:$A$1141,$A12,Data!$C$2:$C$1141,C$1)</f>
        <v>1211.22288644204</v>
      </c>
      <c r="D12" s="6" t="n">
        <f aca="false">SUMIFS(Data!$J$2:$J$1141,Data!$A$2:$A$1141,$A12,Data!$C$2:$C$1141,D$1)</f>
        <v>2384.34396992191</v>
      </c>
      <c r="E12" s="6" t="n">
        <f aca="false">SUMIFS(Data!$J$2:$J$1141,Data!$A$2:$A$1141,$A12,Data!$C$2:$C$1141,E$1)</f>
        <v>4676.44176169511</v>
      </c>
      <c r="F12" s="6" t="n">
        <f aca="false">SUMIFS(Data!$J$2:$J$1141,Data!$A$2:$A$1141,$A12,Data!$C$2:$C$1141,F$1)</f>
        <v>5487.20901487372</v>
      </c>
      <c r="G12" s="6" t="n">
        <f aca="false">SUMIFS(Data!$J$2:$J$1141,Data!$A$2:$A$1141,$A12,Data!$C$2:$C$1141,G$1)</f>
        <v>1015.8193618172</v>
      </c>
      <c r="H12" s="6" t="n">
        <f aca="false">SUMIFS(Data!$J$2:$J$1141,Data!$A$2:$A$1141,$A12,Data!$C$2:$C$1141,H$1)</f>
        <v>290.322085654222</v>
      </c>
      <c r="I12" s="6" t="n">
        <f aca="false">SUMIFS(Data!$J$2:$J$1141,Data!$A$2:$A$1141,$A12,Data!$C$2:$C$1141,I$1)</f>
        <v>464.588157644506</v>
      </c>
      <c r="J12" s="6" t="n">
        <f aca="false">SUMIFS(Data!$J$2:$J$1141,Data!$A$2:$A$1141,$A12,Data!$C$2:$C$1141,J$1)</f>
        <v>707.373720335794</v>
      </c>
      <c r="K12" s="6" t="n">
        <f aca="false">SUMIFS(Data!$J$2:$J$1141,Data!$A$2:$A$1141,$A12,Data!$C$2:$C$1141,K$1)</f>
        <v>2438.71748873239</v>
      </c>
      <c r="L12" s="6" t="n">
        <f aca="false">SUMIFS(Data!$J$2:$J$1141,Data!$A$2:$A$1141,$A12,Data!$C$2:$C$1141,L$1)</f>
        <v>427.691759646824</v>
      </c>
      <c r="M12" s="6" t="n">
        <f aca="false">SUMIFS(Data!$J$2:$J$1141,Data!$A$2:$A$1141,$A12,Data!$C$2:$C$1141,M$1)</f>
        <v>349.647710509091</v>
      </c>
      <c r="N12" s="6" t="n">
        <f aca="false">SUMIFS(Data!$J$2:$J$1141,Data!$A$2:$A$1141,$A12,Data!$C$2:$C$1141,N$1)</f>
        <v>101.903053038522</v>
      </c>
    </row>
    <row r="14" customFormat="false" ht="15" hidden="false" customHeight="false" outlineLevel="0" collapsed="false">
      <c r="A14" s="7" t="s">
        <v>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23.85" hidden="false" customHeight="false" outlineLevel="0" collapsed="false">
      <c r="A1" s="8" t="s">
        <v>98</v>
      </c>
    </row>
    <row r="2" customFormat="false" ht="15" hidden="false" customHeight="false" outlineLevel="0" collapsed="false">
      <c r="A2" s="8" t="s">
        <v>99</v>
      </c>
    </row>
    <row r="3" customFormat="false" ht="23.85" hidden="false" customHeight="false" outlineLevel="0" collapsed="false">
      <c r="A3" s="8" t="s">
        <v>100</v>
      </c>
    </row>
    <row r="4" customFormat="false" ht="23.85" hidden="false" customHeight="false" outlineLevel="0" collapsed="false">
      <c r="A4" s="8" t="s">
        <v>101</v>
      </c>
    </row>
    <row r="5" customFormat="false" ht="15" hidden="false" customHeight="false" outlineLevel="0" collapsed="false">
      <c r="A5" s="8" t="s">
        <v>102</v>
      </c>
    </row>
    <row r="6" customFormat="false" ht="15" hidden="false" customHeight="false" outlineLevel="0" collapsed="false">
      <c r="A6" s="8" t="s">
        <v>103</v>
      </c>
    </row>
    <row r="7" customFormat="false" ht="15" hidden="false" customHeight="false" outlineLevel="0" collapsed="false">
      <c r="A7" s="8" t="s">
        <v>104</v>
      </c>
    </row>
    <row r="8" customFormat="false" ht="15" hidden="false" customHeight="false" outlineLevel="0" collapsed="false">
      <c r="A8" s="8" t="s">
        <v>105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2026-10-21T05:13:18Z</dcterms:created>
  <dc:creator>openpyxl</dc:creator>
  <dc:description/>
  <dc:language>en-US</dc:language>
  <cp:lastModifiedBy/>
  <dcterms:modified xsi:type="dcterms:W3CDTF">2026-10-21T05:13:18Z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